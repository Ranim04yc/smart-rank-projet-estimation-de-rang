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EGION\Desktop\"/>
    </mc:Choice>
  </mc:AlternateContent>
  <xr:revisionPtr revIDLastSave="0" documentId="13_ncr:1_{5A3F52FF-7EE8-4402-8276-6EAED5B6DAF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00" i="1" l="1"/>
  <c r="K300" i="1"/>
  <c r="I300" i="1"/>
  <c r="G300" i="1"/>
  <c r="M299" i="1"/>
  <c r="K299" i="1"/>
  <c r="I299" i="1"/>
  <c r="G299" i="1"/>
  <c r="M298" i="1"/>
  <c r="K298" i="1"/>
  <c r="I298" i="1"/>
  <c r="G298" i="1"/>
  <c r="M297" i="1"/>
  <c r="K297" i="1"/>
  <c r="I297" i="1"/>
  <c r="G297" i="1"/>
  <c r="M296" i="1"/>
  <c r="K296" i="1"/>
  <c r="I296" i="1"/>
  <c r="G296" i="1"/>
  <c r="M295" i="1"/>
  <c r="K295" i="1"/>
  <c r="I295" i="1"/>
  <c r="G295" i="1"/>
  <c r="M294" i="1"/>
  <c r="K294" i="1"/>
  <c r="I294" i="1"/>
  <c r="G294" i="1"/>
  <c r="M293" i="1"/>
  <c r="K293" i="1"/>
  <c r="I293" i="1"/>
  <c r="G293" i="1"/>
  <c r="M292" i="1"/>
  <c r="K292" i="1"/>
  <c r="I292" i="1"/>
  <c r="G292" i="1"/>
  <c r="M291" i="1"/>
  <c r="K291" i="1"/>
  <c r="I291" i="1"/>
  <c r="G291" i="1"/>
  <c r="M290" i="1"/>
  <c r="K290" i="1"/>
  <c r="I290" i="1"/>
  <c r="G290" i="1"/>
  <c r="M289" i="1"/>
  <c r="K289" i="1"/>
  <c r="I289" i="1"/>
  <c r="G289" i="1"/>
  <c r="M288" i="1"/>
  <c r="K288" i="1"/>
  <c r="I288" i="1"/>
  <c r="G288" i="1"/>
  <c r="M287" i="1"/>
  <c r="K287" i="1"/>
  <c r="I287" i="1"/>
  <c r="G287" i="1"/>
  <c r="M286" i="1"/>
  <c r="K286" i="1"/>
  <c r="I286" i="1"/>
  <c r="G286" i="1"/>
  <c r="M285" i="1"/>
  <c r="K285" i="1"/>
  <c r="I285" i="1"/>
  <c r="G285" i="1"/>
  <c r="M284" i="1"/>
  <c r="K284" i="1"/>
  <c r="I284" i="1"/>
  <c r="G284" i="1"/>
  <c r="M283" i="1"/>
  <c r="K283" i="1"/>
  <c r="I283" i="1"/>
  <c r="G283" i="1"/>
  <c r="M282" i="1"/>
  <c r="K282" i="1"/>
  <c r="I282" i="1"/>
  <c r="G282" i="1"/>
  <c r="M281" i="1"/>
  <c r="K281" i="1"/>
  <c r="I281" i="1"/>
  <c r="G281" i="1"/>
  <c r="M280" i="1"/>
  <c r="K280" i="1"/>
  <c r="I280" i="1"/>
  <c r="G280" i="1"/>
  <c r="M279" i="1"/>
  <c r="K279" i="1"/>
  <c r="I279" i="1"/>
  <c r="G279" i="1"/>
  <c r="M278" i="1"/>
  <c r="K278" i="1"/>
  <c r="I278" i="1"/>
  <c r="G278" i="1"/>
  <c r="M277" i="1"/>
  <c r="K277" i="1"/>
  <c r="I277" i="1"/>
  <c r="G277" i="1"/>
  <c r="M276" i="1"/>
  <c r="K276" i="1"/>
  <c r="I276" i="1"/>
  <c r="G276" i="1"/>
  <c r="M275" i="1"/>
  <c r="K275" i="1"/>
  <c r="I275" i="1"/>
  <c r="G275" i="1"/>
  <c r="M274" i="1"/>
  <c r="K274" i="1"/>
  <c r="I274" i="1"/>
  <c r="G274" i="1"/>
  <c r="M273" i="1"/>
  <c r="K273" i="1"/>
  <c r="I273" i="1"/>
  <c r="G273" i="1"/>
  <c r="M272" i="1"/>
  <c r="K272" i="1"/>
  <c r="I272" i="1"/>
  <c r="G272" i="1"/>
  <c r="M271" i="1"/>
  <c r="K271" i="1"/>
  <c r="I271" i="1"/>
  <c r="G271" i="1"/>
  <c r="M270" i="1"/>
  <c r="K270" i="1"/>
  <c r="I270" i="1"/>
  <c r="G270" i="1"/>
  <c r="M269" i="1"/>
  <c r="K269" i="1"/>
  <c r="I269" i="1"/>
  <c r="G269" i="1"/>
  <c r="M268" i="1"/>
  <c r="K268" i="1"/>
  <c r="I268" i="1"/>
  <c r="G268" i="1"/>
  <c r="M267" i="1"/>
  <c r="K267" i="1"/>
  <c r="I267" i="1"/>
  <c r="G267" i="1"/>
  <c r="M266" i="1"/>
  <c r="K266" i="1"/>
  <c r="I266" i="1"/>
  <c r="G266" i="1"/>
  <c r="M265" i="1"/>
  <c r="K265" i="1"/>
  <c r="I265" i="1"/>
  <c r="G265" i="1"/>
  <c r="M264" i="1"/>
  <c r="K264" i="1"/>
  <c r="I264" i="1"/>
  <c r="G264" i="1"/>
  <c r="M263" i="1"/>
  <c r="K263" i="1"/>
  <c r="I263" i="1"/>
  <c r="G263" i="1"/>
  <c r="M262" i="1"/>
  <c r="K262" i="1"/>
  <c r="I262" i="1"/>
  <c r="G262" i="1"/>
  <c r="M261" i="1"/>
  <c r="K261" i="1"/>
  <c r="I261" i="1"/>
  <c r="G261" i="1"/>
  <c r="M260" i="1"/>
  <c r="K260" i="1"/>
  <c r="I260" i="1"/>
  <c r="G260" i="1"/>
  <c r="M259" i="1"/>
  <c r="K259" i="1"/>
  <c r="I259" i="1"/>
  <c r="G259" i="1"/>
  <c r="M258" i="1"/>
  <c r="K258" i="1"/>
  <c r="I258" i="1"/>
  <c r="G258" i="1"/>
  <c r="M257" i="1"/>
  <c r="K257" i="1"/>
  <c r="I257" i="1"/>
  <c r="G257" i="1"/>
  <c r="M256" i="1"/>
  <c r="K256" i="1"/>
  <c r="I256" i="1"/>
  <c r="G256" i="1"/>
  <c r="M255" i="1"/>
  <c r="K255" i="1"/>
  <c r="I255" i="1"/>
  <c r="G255" i="1"/>
  <c r="M254" i="1"/>
  <c r="K254" i="1"/>
  <c r="I254" i="1"/>
  <c r="G254" i="1"/>
  <c r="M253" i="1"/>
  <c r="K253" i="1"/>
  <c r="I253" i="1"/>
  <c r="G253" i="1"/>
  <c r="M252" i="1"/>
  <c r="K252" i="1"/>
  <c r="I252" i="1"/>
  <c r="G252" i="1"/>
  <c r="M251" i="1"/>
  <c r="K251" i="1"/>
  <c r="I251" i="1"/>
  <c r="G251" i="1"/>
  <c r="M250" i="1"/>
  <c r="K250" i="1"/>
  <c r="I250" i="1"/>
  <c r="G250" i="1"/>
  <c r="M249" i="1"/>
  <c r="K249" i="1"/>
  <c r="I249" i="1"/>
  <c r="G249" i="1"/>
  <c r="M248" i="1"/>
  <c r="K248" i="1"/>
  <c r="I248" i="1"/>
  <c r="G248" i="1"/>
  <c r="M247" i="1"/>
  <c r="K247" i="1"/>
  <c r="I247" i="1"/>
  <c r="G247" i="1"/>
  <c r="M246" i="1"/>
  <c r="K246" i="1"/>
  <c r="I246" i="1"/>
  <c r="G246" i="1"/>
  <c r="M245" i="1"/>
  <c r="K245" i="1"/>
  <c r="I245" i="1"/>
  <c r="G245" i="1"/>
  <c r="M244" i="1"/>
  <c r="K244" i="1"/>
  <c r="I244" i="1"/>
  <c r="G244" i="1"/>
  <c r="M243" i="1"/>
  <c r="K243" i="1"/>
  <c r="I243" i="1"/>
  <c r="G243" i="1"/>
  <c r="M242" i="1"/>
  <c r="K242" i="1"/>
  <c r="I242" i="1"/>
  <c r="G242" i="1"/>
  <c r="M241" i="1"/>
  <c r="K241" i="1"/>
  <c r="I241" i="1"/>
  <c r="G241" i="1"/>
  <c r="M240" i="1"/>
  <c r="K240" i="1"/>
  <c r="I240" i="1"/>
  <c r="G240" i="1"/>
  <c r="M239" i="1"/>
  <c r="K239" i="1"/>
  <c r="I239" i="1"/>
  <c r="G239" i="1"/>
  <c r="M238" i="1"/>
  <c r="K238" i="1"/>
  <c r="I238" i="1"/>
  <c r="G238" i="1"/>
  <c r="M237" i="1"/>
  <c r="K237" i="1"/>
  <c r="I237" i="1"/>
  <c r="G237" i="1"/>
  <c r="M236" i="1"/>
  <c r="K236" i="1"/>
  <c r="I236" i="1"/>
  <c r="G236" i="1"/>
  <c r="M235" i="1"/>
  <c r="K235" i="1"/>
  <c r="I235" i="1"/>
  <c r="G235" i="1"/>
  <c r="M234" i="1"/>
  <c r="K234" i="1"/>
  <c r="I234" i="1"/>
  <c r="G234" i="1"/>
  <c r="M233" i="1"/>
  <c r="K233" i="1"/>
  <c r="I233" i="1"/>
  <c r="G233" i="1"/>
  <c r="M232" i="1"/>
  <c r="K232" i="1"/>
  <c r="I232" i="1"/>
  <c r="G232" i="1"/>
  <c r="M231" i="1"/>
  <c r="K231" i="1"/>
  <c r="I231" i="1"/>
  <c r="G231" i="1"/>
  <c r="M230" i="1"/>
  <c r="K230" i="1"/>
  <c r="I230" i="1"/>
  <c r="G230" i="1"/>
  <c r="M229" i="1"/>
  <c r="K229" i="1"/>
  <c r="I229" i="1"/>
  <c r="G229" i="1"/>
  <c r="M228" i="1"/>
  <c r="K228" i="1"/>
  <c r="I228" i="1"/>
  <c r="G228" i="1"/>
  <c r="M227" i="1"/>
  <c r="K227" i="1"/>
  <c r="I227" i="1"/>
  <c r="G227" i="1"/>
  <c r="M226" i="1"/>
  <c r="K226" i="1"/>
  <c r="I226" i="1"/>
  <c r="G226" i="1"/>
  <c r="M225" i="1"/>
  <c r="K225" i="1"/>
  <c r="I225" i="1"/>
  <c r="G225" i="1"/>
  <c r="M224" i="1"/>
  <c r="K224" i="1"/>
  <c r="I224" i="1"/>
  <c r="G224" i="1"/>
  <c r="M223" i="1"/>
  <c r="K223" i="1"/>
  <c r="I223" i="1"/>
  <c r="G223" i="1"/>
  <c r="M222" i="1"/>
  <c r="K222" i="1"/>
  <c r="I222" i="1"/>
  <c r="G222" i="1"/>
  <c r="M221" i="1"/>
  <c r="K221" i="1"/>
  <c r="I221" i="1"/>
  <c r="G221" i="1"/>
  <c r="M220" i="1"/>
  <c r="K220" i="1"/>
  <c r="I220" i="1"/>
  <c r="G220" i="1"/>
  <c r="M219" i="1"/>
  <c r="K219" i="1"/>
  <c r="I219" i="1"/>
  <c r="G219" i="1"/>
  <c r="M218" i="1"/>
  <c r="K218" i="1"/>
  <c r="I218" i="1"/>
  <c r="G218" i="1"/>
  <c r="M217" i="1"/>
  <c r="K217" i="1"/>
  <c r="I217" i="1"/>
  <c r="G217" i="1"/>
  <c r="M216" i="1"/>
  <c r="K216" i="1"/>
  <c r="I216" i="1"/>
  <c r="G216" i="1"/>
  <c r="M215" i="1"/>
  <c r="K215" i="1"/>
  <c r="I215" i="1"/>
  <c r="G215" i="1"/>
  <c r="M214" i="1"/>
  <c r="K214" i="1"/>
  <c r="I214" i="1"/>
  <c r="G214" i="1"/>
  <c r="M213" i="1"/>
  <c r="K213" i="1"/>
  <c r="I213" i="1"/>
  <c r="G213" i="1"/>
  <c r="M212" i="1"/>
  <c r="K212" i="1"/>
  <c r="I212" i="1"/>
  <c r="G212" i="1"/>
  <c r="M211" i="1"/>
  <c r="K211" i="1"/>
  <c r="I211" i="1"/>
  <c r="G211" i="1"/>
  <c r="M210" i="1"/>
  <c r="K210" i="1"/>
  <c r="I210" i="1"/>
  <c r="G210" i="1"/>
  <c r="M209" i="1"/>
  <c r="K209" i="1"/>
  <c r="I209" i="1"/>
  <c r="G209" i="1"/>
  <c r="M208" i="1"/>
  <c r="K208" i="1"/>
  <c r="I208" i="1"/>
  <c r="G208" i="1"/>
  <c r="M207" i="1"/>
  <c r="K207" i="1"/>
  <c r="I207" i="1"/>
  <c r="G207" i="1"/>
  <c r="M206" i="1"/>
  <c r="K206" i="1"/>
  <c r="I206" i="1"/>
  <c r="G206" i="1"/>
  <c r="M205" i="1"/>
  <c r="K205" i="1"/>
  <c r="I205" i="1"/>
  <c r="G205" i="1"/>
  <c r="M204" i="1"/>
  <c r="K204" i="1"/>
  <c r="I204" i="1"/>
  <c r="G204" i="1"/>
  <c r="M203" i="1"/>
  <c r="K203" i="1"/>
  <c r="I203" i="1"/>
  <c r="G203" i="1"/>
  <c r="M202" i="1"/>
  <c r="K202" i="1"/>
  <c r="I202" i="1"/>
  <c r="G202" i="1"/>
  <c r="M201" i="1"/>
  <c r="K201" i="1"/>
  <c r="I201" i="1"/>
  <c r="G201" i="1"/>
  <c r="M200" i="1"/>
  <c r="K200" i="1"/>
  <c r="I200" i="1"/>
  <c r="G200" i="1"/>
  <c r="M199" i="1"/>
  <c r="K199" i="1"/>
  <c r="I199" i="1"/>
  <c r="G199" i="1"/>
  <c r="M198" i="1"/>
  <c r="K198" i="1"/>
  <c r="I198" i="1"/>
  <c r="G198" i="1"/>
  <c r="M197" i="1"/>
  <c r="K197" i="1"/>
  <c r="I197" i="1"/>
  <c r="G197" i="1"/>
  <c r="M196" i="1"/>
  <c r="K196" i="1"/>
  <c r="I196" i="1"/>
  <c r="G196" i="1"/>
  <c r="M195" i="1"/>
  <c r="K195" i="1"/>
  <c r="I195" i="1"/>
  <c r="G195" i="1"/>
  <c r="M194" i="1"/>
  <c r="K194" i="1"/>
  <c r="I194" i="1"/>
  <c r="G194" i="1"/>
  <c r="M193" i="1"/>
  <c r="K193" i="1"/>
  <c r="I193" i="1"/>
  <c r="G193" i="1"/>
  <c r="M192" i="1"/>
  <c r="K192" i="1"/>
  <c r="I192" i="1"/>
  <c r="G192" i="1"/>
  <c r="M191" i="1"/>
  <c r="K191" i="1"/>
  <c r="I191" i="1"/>
  <c r="G191" i="1"/>
  <c r="M190" i="1"/>
  <c r="K190" i="1"/>
  <c r="I190" i="1"/>
  <c r="G190" i="1"/>
  <c r="M189" i="1"/>
  <c r="K189" i="1"/>
  <c r="I189" i="1"/>
  <c r="G189" i="1"/>
  <c r="M188" i="1"/>
  <c r="K188" i="1"/>
  <c r="I188" i="1"/>
  <c r="G188" i="1"/>
  <c r="M187" i="1"/>
  <c r="K187" i="1"/>
  <c r="I187" i="1"/>
  <c r="G187" i="1"/>
  <c r="M186" i="1"/>
  <c r="K186" i="1"/>
  <c r="I186" i="1"/>
  <c r="G186" i="1"/>
  <c r="M185" i="1"/>
  <c r="K185" i="1"/>
  <c r="I185" i="1"/>
  <c r="G185" i="1"/>
  <c r="M184" i="1"/>
  <c r="K184" i="1"/>
  <c r="I184" i="1"/>
  <c r="G184" i="1"/>
  <c r="M183" i="1"/>
  <c r="K183" i="1"/>
  <c r="I183" i="1"/>
  <c r="G183" i="1"/>
  <c r="M182" i="1"/>
  <c r="K182" i="1"/>
  <c r="I182" i="1"/>
  <c r="G182" i="1"/>
  <c r="M181" i="1"/>
  <c r="K181" i="1"/>
  <c r="I181" i="1"/>
  <c r="G181" i="1"/>
  <c r="M180" i="1"/>
  <c r="K180" i="1"/>
  <c r="I180" i="1"/>
  <c r="G180" i="1"/>
  <c r="M179" i="1"/>
  <c r="K179" i="1"/>
  <c r="I179" i="1"/>
  <c r="G179" i="1"/>
  <c r="M178" i="1"/>
  <c r="K178" i="1"/>
  <c r="I178" i="1"/>
  <c r="G178" i="1"/>
  <c r="M177" i="1"/>
  <c r="K177" i="1"/>
  <c r="I177" i="1"/>
  <c r="G177" i="1"/>
  <c r="M176" i="1"/>
  <c r="K176" i="1"/>
  <c r="I176" i="1"/>
  <c r="G176" i="1"/>
  <c r="M175" i="1"/>
  <c r="K175" i="1"/>
  <c r="I175" i="1"/>
  <c r="G175" i="1"/>
  <c r="M174" i="1"/>
  <c r="K174" i="1"/>
  <c r="I174" i="1"/>
  <c r="G174" i="1"/>
  <c r="M173" i="1"/>
  <c r="K173" i="1"/>
  <c r="I173" i="1"/>
  <c r="G173" i="1"/>
  <c r="M172" i="1"/>
  <c r="K172" i="1"/>
  <c r="I172" i="1"/>
  <c r="G172" i="1"/>
  <c r="M171" i="1"/>
  <c r="K171" i="1"/>
  <c r="I171" i="1"/>
  <c r="G171" i="1"/>
  <c r="M170" i="1"/>
  <c r="K170" i="1"/>
  <c r="I170" i="1"/>
  <c r="G170" i="1"/>
  <c r="M169" i="1"/>
  <c r="K169" i="1"/>
  <c r="I169" i="1"/>
  <c r="G169" i="1"/>
  <c r="M168" i="1"/>
  <c r="K168" i="1"/>
  <c r="I168" i="1"/>
  <c r="G168" i="1"/>
  <c r="M167" i="1"/>
  <c r="K167" i="1"/>
  <c r="I167" i="1"/>
  <c r="G167" i="1"/>
  <c r="M166" i="1"/>
  <c r="K166" i="1"/>
  <c r="I166" i="1"/>
  <c r="G166" i="1"/>
  <c r="M165" i="1"/>
  <c r="K165" i="1"/>
  <c r="I165" i="1"/>
  <c r="G165" i="1"/>
  <c r="M164" i="1"/>
  <c r="K164" i="1"/>
  <c r="I164" i="1"/>
  <c r="G164" i="1"/>
  <c r="M163" i="1"/>
  <c r="K163" i="1"/>
  <c r="I163" i="1"/>
  <c r="G163" i="1"/>
  <c r="M162" i="1"/>
  <c r="K162" i="1"/>
  <c r="I162" i="1"/>
  <c r="G162" i="1"/>
  <c r="M161" i="1"/>
  <c r="K161" i="1"/>
  <c r="I161" i="1"/>
  <c r="G161" i="1"/>
  <c r="M160" i="1"/>
  <c r="K160" i="1"/>
  <c r="I160" i="1"/>
  <c r="G160" i="1"/>
  <c r="M159" i="1"/>
  <c r="K159" i="1"/>
  <c r="I159" i="1"/>
  <c r="G159" i="1"/>
  <c r="M158" i="1"/>
  <c r="K158" i="1"/>
  <c r="I158" i="1"/>
  <c r="G158" i="1"/>
  <c r="M157" i="1"/>
  <c r="K157" i="1"/>
  <c r="I157" i="1"/>
  <c r="G157" i="1"/>
  <c r="M156" i="1"/>
  <c r="K156" i="1"/>
  <c r="I156" i="1"/>
  <c r="G156" i="1"/>
  <c r="M155" i="1"/>
  <c r="K155" i="1"/>
  <c r="I155" i="1"/>
  <c r="G155" i="1"/>
  <c r="M154" i="1"/>
  <c r="K154" i="1"/>
  <c r="I154" i="1"/>
  <c r="G154" i="1"/>
  <c r="M153" i="1"/>
  <c r="K153" i="1"/>
  <c r="I153" i="1"/>
  <c r="G153" i="1"/>
  <c r="M152" i="1"/>
  <c r="K152" i="1"/>
  <c r="I152" i="1"/>
  <c r="G152" i="1"/>
  <c r="M151" i="1"/>
  <c r="K151" i="1"/>
  <c r="I151" i="1"/>
  <c r="G151" i="1"/>
  <c r="M150" i="1"/>
  <c r="K150" i="1"/>
  <c r="I150" i="1"/>
  <c r="G150" i="1"/>
  <c r="M149" i="1"/>
  <c r="K149" i="1"/>
  <c r="I149" i="1"/>
  <c r="G149" i="1"/>
  <c r="M148" i="1"/>
  <c r="K148" i="1"/>
  <c r="I148" i="1"/>
  <c r="G148" i="1"/>
  <c r="M147" i="1"/>
  <c r="K147" i="1"/>
  <c r="I147" i="1"/>
  <c r="G147" i="1"/>
  <c r="M146" i="1"/>
  <c r="K146" i="1"/>
  <c r="I146" i="1"/>
  <c r="G146" i="1"/>
  <c r="M145" i="1"/>
  <c r="K145" i="1"/>
  <c r="I145" i="1"/>
  <c r="G145" i="1"/>
  <c r="M144" i="1"/>
  <c r="K144" i="1"/>
  <c r="I144" i="1"/>
  <c r="G144" i="1"/>
  <c r="M143" i="1"/>
  <c r="K143" i="1"/>
  <c r="I143" i="1"/>
  <c r="G143" i="1"/>
  <c r="M142" i="1"/>
  <c r="K142" i="1"/>
  <c r="I142" i="1"/>
  <c r="G142" i="1"/>
  <c r="M141" i="1"/>
  <c r="K141" i="1"/>
  <c r="I141" i="1"/>
  <c r="G141" i="1"/>
  <c r="M140" i="1"/>
  <c r="K140" i="1"/>
  <c r="I140" i="1"/>
  <c r="G140" i="1"/>
  <c r="M139" i="1"/>
  <c r="K139" i="1"/>
  <c r="I139" i="1"/>
  <c r="G139" i="1"/>
  <c r="M138" i="1"/>
  <c r="K138" i="1"/>
  <c r="I138" i="1"/>
  <c r="G138" i="1"/>
  <c r="M137" i="1"/>
  <c r="K137" i="1"/>
  <c r="I137" i="1"/>
  <c r="G137" i="1"/>
  <c r="M136" i="1"/>
  <c r="K136" i="1"/>
  <c r="I136" i="1"/>
  <c r="G136" i="1"/>
  <c r="M135" i="1"/>
  <c r="K135" i="1"/>
  <c r="I135" i="1"/>
  <c r="G135" i="1"/>
  <c r="M134" i="1"/>
  <c r="K134" i="1"/>
  <c r="I134" i="1"/>
  <c r="G134" i="1"/>
  <c r="M133" i="1"/>
  <c r="K133" i="1"/>
  <c r="I133" i="1"/>
  <c r="G133" i="1"/>
  <c r="M132" i="1"/>
  <c r="K132" i="1"/>
  <c r="I132" i="1"/>
  <c r="G132" i="1"/>
  <c r="M131" i="1"/>
  <c r="K131" i="1"/>
  <c r="I131" i="1"/>
  <c r="G131" i="1"/>
  <c r="M130" i="1"/>
  <c r="K130" i="1"/>
  <c r="I130" i="1"/>
  <c r="G130" i="1"/>
  <c r="M129" i="1"/>
  <c r="K129" i="1"/>
  <c r="I129" i="1"/>
  <c r="G129" i="1"/>
  <c r="M128" i="1"/>
  <c r="K128" i="1"/>
  <c r="I128" i="1"/>
  <c r="G128" i="1"/>
  <c r="M127" i="1"/>
  <c r="K127" i="1"/>
  <c r="I127" i="1"/>
  <c r="G127" i="1"/>
  <c r="M126" i="1"/>
  <c r="K126" i="1"/>
  <c r="I126" i="1"/>
  <c r="G126" i="1"/>
  <c r="M125" i="1"/>
  <c r="K125" i="1"/>
  <c r="I125" i="1"/>
  <c r="G125" i="1"/>
  <c r="M124" i="1"/>
  <c r="K124" i="1"/>
  <c r="I124" i="1"/>
  <c r="G124" i="1"/>
  <c r="M123" i="1"/>
  <c r="K123" i="1"/>
  <c r="I123" i="1"/>
  <c r="G123" i="1"/>
  <c r="M122" i="1"/>
  <c r="K122" i="1"/>
  <c r="I122" i="1"/>
  <c r="G122" i="1"/>
  <c r="M121" i="1"/>
  <c r="K121" i="1"/>
  <c r="I121" i="1"/>
  <c r="G121" i="1"/>
  <c r="M120" i="1"/>
  <c r="K120" i="1"/>
  <c r="I120" i="1"/>
  <c r="G120" i="1"/>
  <c r="M119" i="1"/>
  <c r="K119" i="1"/>
  <c r="I119" i="1"/>
  <c r="G119" i="1"/>
  <c r="M118" i="1"/>
  <c r="K118" i="1"/>
  <c r="I118" i="1"/>
  <c r="G118" i="1"/>
  <c r="M117" i="1"/>
  <c r="K117" i="1"/>
  <c r="I117" i="1"/>
  <c r="G117" i="1"/>
  <c r="M116" i="1"/>
  <c r="K116" i="1"/>
  <c r="I116" i="1"/>
  <c r="G116" i="1"/>
  <c r="M115" i="1"/>
  <c r="K115" i="1"/>
  <c r="I115" i="1"/>
  <c r="G115" i="1"/>
  <c r="M114" i="1"/>
  <c r="K114" i="1"/>
  <c r="I114" i="1"/>
  <c r="G114" i="1"/>
  <c r="M113" i="1"/>
  <c r="K113" i="1"/>
  <c r="I113" i="1"/>
  <c r="G113" i="1"/>
  <c r="M112" i="1"/>
  <c r="K112" i="1"/>
  <c r="I112" i="1"/>
  <c r="G112" i="1"/>
  <c r="M111" i="1"/>
  <c r="K111" i="1"/>
  <c r="I111" i="1"/>
  <c r="G111" i="1"/>
  <c r="M110" i="1"/>
  <c r="K110" i="1"/>
  <c r="I110" i="1"/>
  <c r="G110" i="1"/>
  <c r="M109" i="1"/>
  <c r="K109" i="1"/>
  <c r="I109" i="1"/>
  <c r="G109" i="1"/>
  <c r="M108" i="1"/>
  <c r="K108" i="1"/>
  <c r="I108" i="1"/>
  <c r="G108" i="1"/>
  <c r="M107" i="1"/>
  <c r="K107" i="1"/>
  <c r="I107" i="1"/>
  <c r="G107" i="1"/>
  <c r="M106" i="1"/>
  <c r="K106" i="1"/>
  <c r="I106" i="1"/>
  <c r="G106" i="1"/>
  <c r="M105" i="1"/>
  <c r="K105" i="1"/>
  <c r="I105" i="1"/>
  <c r="G105" i="1"/>
  <c r="M104" i="1"/>
  <c r="K104" i="1"/>
  <c r="I104" i="1"/>
  <c r="G104" i="1"/>
  <c r="M103" i="1"/>
  <c r="K103" i="1"/>
  <c r="I103" i="1"/>
  <c r="G103" i="1"/>
  <c r="M102" i="1"/>
  <c r="K102" i="1"/>
  <c r="I102" i="1"/>
  <c r="G102" i="1"/>
  <c r="M101" i="1"/>
  <c r="K101" i="1"/>
  <c r="I101" i="1"/>
  <c r="G101" i="1"/>
  <c r="M100" i="1"/>
  <c r="K100" i="1"/>
  <c r="I100" i="1"/>
  <c r="G100" i="1"/>
  <c r="M99" i="1"/>
  <c r="K99" i="1"/>
  <c r="I99" i="1"/>
  <c r="G99" i="1"/>
  <c r="M98" i="1"/>
  <c r="K98" i="1"/>
  <c r="I98" i="1"/>
  <c r="G98" i="1"/>
  <c r="M97" i="1"/>
  <c r="K97" i="1"/>
  <c r="I97" i="1"/>
  <c r="G97" i="1"/>
  <c r="M96" i="1"/>
  <c r="K96" i="1"/>
  <c r="I96" i="1"/>
  <c r="G96" i="1"/>
  <c r="M95" i="1"/>
  <c r="K95" i="1"/>
  <c r="I95" i="1"/>
  <c r="G95" i="1"/>
  <c r="M94" i="1"/>
  <c r="K94" i="1"/>
  <c r="I94" i="1"/>
  <c r="G94" i="1"/>
  <c r="M93" i="1"/>
  <c r="K93" i="1"/>
  <c r="I93" i="1"/>
  <c r="G93" i="1"/>
  <c r="M92" i="1"/>
  <c r="K92" i="1"/>
  <c r="I92" i="1"/>
  <c r="G92" i="1"/>
  <c r="M91" i="1"/>
  <c r="K91" i="1"/>
  <c r="I91" i="1"/>
  <c r="G91" i="1"/>
  <c r="M90" i="1"/>
  <c r="K90" i="1"/>
  <c r="I90" i="1"/>
  <c r="G90" i="1"/>
  <c r="M89" i="1"/>
  <c r="K89" i="1"/>
  <c r="I89" i="1"/>
  <c r="G89" i="1"/>
  <c r="M88" i="1"/>
  <c r="K88" i="1"/>
  <c r="I88" i="1"/>
  <c r="G88" i="1"/>
  <c r="M87" i="1"/>
  <c r="K87" i="1"/>
  <c r="I87" i="1"/>
  <c r="G87" i="1"/>
  <c r="M86" i="1"/>
  <c r="K86" i="1"/>
  <c r="I86" i="1"/>
  <c r="G86" i="1"/>
  <c r="M85" i="1"/>
  <c r="K85" i="1"/>
  <c r="I85" i="1"/>
  <c r="G85" i="1"/>
  <c r="M84" i="1"/>
  <c r="K84" i="1"/>
  <c r="I84" i="1"/>
  <c r="G84" i="1"/>
  <c r="M83" i="1"/>
  <c r="K83" i="1"/>
  <c r="I83" i="1"/>
  <c r="G83" i="1"/>
  <c r="M82" i="1"/>
  <c r="K82" i="1"/>
  <c r="I82" i="1"/>
  <c r="G82" i="1"/>
  <c r="M81" i="1"/>
  <c r="K81" i="1"/>
  <c r="I81" i="1"/>
  <c r="G81" i="1"/>
  <c r="M80" i="1"/>
  <c r="K80" i="1"/>
  <c r="I80" i="1"/>
  <c r="G80" i="1"/>
  <c r="M79" i="1"/>
  <c r="K79" i="1"/>
  <c r="I79" i="1"/>
  <c r="G79" i="1"/>
  <c r="M78" i="1"/>
  <c r="K78" i="1"/>
  <c r="I78" i="1"/>
  <c r="G78" i="1"/>
  <c r="M77" i="1"/>
  <c r="K77" i="1"/>
  <c r="I77" i="1"/>
  <c r="G77" i="1"/>
  <c r="M76" i="1"/>
  <c r="K76" i="1"/>
  <c r="I76" i="1"/>
  <c r="G76" i="1"/>
  <c r="M75" i="1"/>
  <c r="K75" i="1"/>
  <c r="I75" i="1"/>
  <c r="G75" i="1"/>
  <c r="M74" i="1"/>
  <c r="K74" i="1"/>
  <c r="I74" i="1"/>
  <c r="G74" i="1"/>
  <c r="M73" i="1"/>
  <c r="K73" i="1"/>
  <c r="I73" i="1"/>
  <c r="G73" i="1"/>
  <c r="M72" i="1"/>
  <c r="K72" i="1"/>
  <c r="I72" i="1"/>
  <c r="G72" i="1"/>
  <c r="M71" i="1"/>
  <c r="K71" i="1"/>
  <c r="I71" i="1"/>
  <c r="G71" i="1"/>
  <c r="M70" i="1"/>
  <c r="K70" i="1"/>
  <c r="I70" i="1"/>
  <c r="G70" i="1"/>
  <c r="M69" i="1"/>
  <c r="K69" i="1"/>
  <c r="I69" i="1"/>
  <c r="G69" i="1"/>
  <c r="M68" i="1"/>
  <c r="K68" i="1"/>
  <c r="I68" i="1"/>
  <c r="G68" i="1"/>
  <c r="M67" i="1"/>
  <c r="K67" i="1"/>
  <c r="I67" i="1"/>
  <c r="G67" i="1"/>
  <c r="M66" i="1"/>
  <c r="K66" i="1"/>
  <c r="I66" i="1"/>
  <c r="G66" i="1"/>
  <c r="M65" i="1"/>
  <c r="K65" i="1"/>
  <c r="I65" i="1"/>
  <c r="G65" i="1"/>
  <c r="M64" i="1"/>
  <c r="K64" i="1"/>
  <c r="I64" i="1"/>
  <c r="G64" i="1"/>
  <c r="M63" i="1"/>
  <c r="K63" i="1"/>
  <c r="I63" i="1"/>
  <c r="G63" i="1"/>
  <c r="M62" i="1"/>
  <c r="K62" i="1"/>
  <c r="I62" i="1"/>
  <c r="G62" i="1"/>
  <c r="M61" i="1"/>
  <c r="K61" i="1"/>
  <c r="I61" i="1"/>
  <c r="G61" i="1"/>
  <c r="M60" i="1"/>
  <c r="K60" i="1"/>
  <c r="I60" i="1"/>
  <c r="G60" i="1"/>
  <c r="M59" i="1"/>
  <c r="K59" i="1"/>
  <c r="I59" i="1"/>
  <c r="G59" i="1"/>
  <c r="M58" i="1"/>
  <c r="K58" i="1"/>
  <c r="I58" i="1"/>
  <c r="G58" i="1"/>
  <c r="M57" i="1"/>
  <c r="K57" i="1"/>
  <c r="I57" i="1"/>
  <c r="G57" i="1"/>
  <c r="M56" i="1"/>
  <c r="K56" i="1"/>
  <c r="I56" i="1"/>
  <c r="G56" i="1"/>
  <c r="M55" i="1"/>
  <c r="K55" i="1"/>
  <c r="I55" i="1"/>
  <c r="G55" i="1"/>
  <c r="M54" i="1"/>
  <c r="K54" i="1"/>
  <c r="I54" i="1"/>
  <c r="G54" i="1"/>
  <c r="M53" i="1"/>
  <c r="K53" i="1"/>
  <c r="I53" i="1"/>
  <c r="G53" i="1"/>
  <c r="M52" i="1"/>
  <c r="K52" i="1"/>
  <c r="I52" i="1"/>
  <c r="G52" i="1"/>
  <c r="M51" i="1"/>
  <c r="K51" i="1"/>
  <c r="I51" i="1"/>
  <c r="G51" i="1"/>
  <c r="M50" i="1"/>
  <c r="K50" i="1"/>
  <c r="I50" i="1"/>
  <c r="G50" i="1"/>
  <c r="M49" i="1"/>
  <c r="K49" i="1"/>
  <c r="I49" i="1"/>
  <c r="G49" i="1"/>
  <c r="M48" i="1"/>
  <c r="K48" i="1"/>
  <c r="I48" i="1"/>
  <c r="G48" i="1"/>
  <c r="M47" i="1"/>
  <c r="K47" i="1"/>
  <c r="I47" i="1"/>
  <c r="G47" i="1"/>
  <c r="M46" i="1"/>
  <c r="K46" i="1"/>
  <c r="I46" i="1"/>
  <c r="G46" i="1"/>
  <c r="M45" i="1"/>
  <c r="K45" i="1"/>
  <c r="I45" i="1"/>
  <c r="G45" i="1"/>
  <c r="M44" i="1"/>
  <c r="K44" i="1"/>
  <c r="I44" i="1"/>
  <c r="G44" i="1"/>
  <c r="M43" i="1"/>
  <c r="K43" i="1"/>
  <c r="I43" i="1"/>
  <c r="G43" i="1"/>
  <c r="M42" i="1"/>
  <c r="K42" i="1"/>
  <c r="I42" i="1"/>
  <c r="G42" i="1"/>
  <c r="M41" i="1"/>
  <c r="K41" i="1"/>
  <c r="I41" i="1"/>
  <c r="G41" i="1"/>
  <c r="M40" i="1"/>
  <c r="K40" i="1"/>
  <c r="I40" i="1"/>
  <c r="G40" i="1"/>
  <c r="M39" i="1"/>
  <c r="K39" i="1"/>
  <c r="I39" i="1"/>
  <c r="G39" i="1"/>
  <c r="M38" i="1"/>
  <c r="K38" i="1"/>
  <c r="I38" i="1"/>
  <c r="G38" i="1"/>
  <c r="M37" i="1"/>
  <c r="K37" i="1"/>
  <c r="I37" i="1"/>
  <c r="G37" i="1"/>
  <c r="M36" i="1"/>
  <c r="K36" i="1"/>
  <c r="I36" i="1"/>
  <c r="G36" i="1"/>
  <c r="M35" i="1"/>
  <c r="K35" i="1"/>
  <c r="I35" i="1"/>
  <c r="G35" i="1"/>
  <c r="M34" i="1"/>
  <c r="K34" i="1"/>
  <c r="I34" i="1"/>
  <c r="G34" i="1"/>
  <c r="M33" i="1"/>
  <c r="K33" i="1"/>
  <c r="I33" i="1"/>
  <c r="G33" i="1"/>
  <c r="M32" i="1"/>
  <c r="K32" i="1"/>
  <c r="I32" i="1"/>
  <c r="G32" i="1"/>
  <c r="M31" i="1"/>
  <c r="K31" i="1"/>
  <c r="I31" i="1"/>
  <c r="G31" i="1"/>
  <c r="M30" i="1"/>
  <c r="K30" i="1"/>
  <c r="I30" i="1"/>
  <c r="G30" i="1"/>
  <c r="M29" i="1"/>
  <c r="K29" i="1"/>
  <c r="I29" i="1"/>
  <c r="G29" i="1"/>
  <c r="M28" i="1"/>
  <c r="K28" i="1"/>
  <c r="I28" i="1"/>
  <c r="G28" i="1"/>
  <c r="M27" i="1"/>
  <c r="K27" i="1"/>
  <c r="I27" i="1"/>
  <c r="G27" i="1"/>
  <c r="M26" i="1"/>
  <c r="K26" i="1"/>
  <c r="I26" i="1"/>
  <c r="G26" i="1"/>
  <c r="M25" i="1"/>
  <c r="K25" i="1"/>
  <c r="I25" i="1"/>
  <c r="G25" i="1"/>
  <c r="M24" i="1"/>
  <c r="K24" i="1"/>
  <c r="I24" i="1"/>
  <c r="G24" i="1"/>
  <c r="M23" i="1"/>
  <c r="K23" i="1"/>
  <c r="I23" i="1"/>
  <c r="G23" i="1"/>
  <c r="M22" i="1"/>
  <c r="K22" i="1"/>
  <c r="I22" i="1"/>
  <c r="G22" i="1"/>
  <c r="M21" i="1"/>
  <c r="K21" i="1"/>
  <c r="I21" i="1"/>
  <c r="G21" i="1"/>
  <c r="M20" i="1"/>
  <c r="K20" i="1"/>
  <c r="I20" i="1"/>
  <c r="G20" i="1"/>
  <c r="M19" i="1"/>
  <c r="K19" i="1"/>
  <c r="I19" i="1"/>
  <c r="G19" i="1"/>
  <c r="M18" i="1"/>
  <c r="K18" i="1"/>
  <c r="I18" i="1"/>
  <c r="G18" i="1"/>
  <c r="M17" i="1"/>
  <c r="K17" i="1"/>
  <c r="I17" i="1"/>
  <c r="G17" i="1"/>
  <c r="M16" i="1"/>
  <c r="K16" i="1"/>
  <c r="I16" i="1"/>
  <c r="G16" i="1"/>
  <c r="M15" i="1"/>
  <c r="K15" i="1"/>
  <c r="I15" i="1"/>
  <c r="G15" i="1"/>
  <c r="M14" i="1"/>
  <c r="K14" i="1"/>
  <c r="I14" i="1"/>
  <c r="G14" i="1"/>
  <c r="M13" i="1"/>
  <c r="K13" i="1"/>
  <c r="I13" i="1"/>
  <c r="G13" i="1"/>
  <c r="M12" i="1"/>
  <c r="K12" i="1"/>
  <c r="I12" i="1"/>
  <c r="G12" i="1"/>
  <c r="M11" i="1"/>
  <c r="K11" i="1"/>
  <c r="I11" i="1"/>
  <c r="G11" i="1"/>
  <c r="M10" i="1"/>
  <c r="K10" i="1"/>
  <c r="I10" i="1"/>
  <c r="G10" i="1"/>
  <c r="M9" i="1"/>
  <c r="K9" i="1"/>
  <c r="I9" i="1"/>
  <c r="G9" i="1"/>
  <c r="M8" i="1"/>
  <c r="K8" i="1"/>
  <c r="I8" i="1"/>
  <c r="G8" i="1"/>
  <c r="M7" i="1"/>
  <c r="K7" i="1"/>
  <c r="I7" i="1"/>
  <c r="G7" i="1"/>
</calcChain>
</file>

<file path=xl/sharedStrings.xml><?xml version="1.0" encoding="utf-8"?>
<sst xmlns="http://schemas.openxmlformats.org/spreadsheetml/2006/main" count="743" uniqueCount="158">
  <si>
    <t>نوع قبولی</t>
  </si>
  <si>
    <t>رشته</t>
  </si>
  <si>
    <t>دانشگاه</t>
  </si>
  <si>
    <t>رتبه سهمیه</t>
  </si>
  <si>
    <t>رتبه 4
نرم افزار</t>
  </si>
  <si>
    <t>میانگین
نرم افزار</t>
  </si>
  <si>
    <t>رتبه  3
معماری</t>
  </si>
  <si>
    <t>میانگین
معماری</t>
  </si>
  <si>
    <t>رتبه 2
هوش</t>
  </si>
  <si>
    <t>میانگین
هوش</t>
  </si>
  <si>
    <t>رتبه  1
شبکه امنیت</t>
  </si>
  <si>
    <t>میانگین
شبکه امنیت</t>
  </si>
  <si>
    <t>معدل</t>
  </si>
  <si>
    <r>
      <rPr>
        <sz val="12"/>
        <rFont val="B titr"/>
      </rPr>
      <t xml:space="preserve">تخصصی 4
</t>
    </r>
    <r>
      <rPr>
        <sz val="9"/>
        <rFont val="B Titr"/>
      </rPr>
      <t xml:space="preserve">(سیستم-پایگاه-شبکه)
</t>
    </r>
    <r>
      <rPr>
        <sz val="12"/>
        <rFont val="B titr"/>
      </rPr>
      <t>20</t>
    </r>
  </si>
  <si>
    <r>
      <rPr>
        <sz val="12"/>
        <rFont val="B titr"/>
      </rPr>
      <t xml:space="preserve">تخصصی 3
</t>
    </r>
    <r>
      <rPr>
        <sz val="10"/>
        <rFont val="B Titr"/>
      </rPr>
      <t xml:space="preserve">(منطقی-معماری)
</t>
    </r>
    <r>
      <rPr>
        <sz val="12"/>
        <rFont val="B titr"/>
      </rPr>
      <t>20</t>
    </r>
  </si>
  <si>
    <r>
      <rPr>
        <sz val="12"/>
        <rFont val="B titr"/>
      </rPr>
      <t xml:space="preserve">تخصصی 2
</t>
    </r>
    <r>
      <rPr>
        <sz val="10"/>
        <rFont val="B Titr"/>
      </rPr>
      <t xml:space="preserve">(داده الگو-هوش)
</t>
    </r>
    <r>
      <rPr>
        <sz val="12"/>
        <rFont val="B titr"/>
      </rPr>
      <t>20</t>
    </r>
  </si>
  <si>
    <r>
      <rPr>
        <sz val="12"/>
        <rFont val="B titr"/>
      </rPr>
      <t xml:space="preserve">تخصصی 1
</t>
    </r>
    <r>
      <rPr>
        <sz val="10"/>
        <rFont val="B Titr"/>
      </rPr>
      <t xml:space="preserve">(نظریه-سیگنال)
</t>
    </r>
    <r>
      <rPr>
        <sz val="12"/>
        <rFont val="B titr"/>
      </rPr>
      <t>10</t>
    </r>
  </si>
  <si>
    <t>ریاضی
20</t>
  </si>
  <si>
    <t>زبان
30</t>
  </si>
  <si>
    <t>هوش</t>
  </si>
  <si>
    <t>شریف</t>
  </si>
  <si>
    <t>الگوریتم</t>
  </si>
  <si>
    <t>-</t>
  </si>
  <si>
    <t>خوابگاه</t>
  </si>
  <si>
    <t>شريف</t>
  </si>
  <si>
    <t>1-2-2-2</t>
  </si>
  <si>
    <t>بیوانفورماتیک</t>
  </si>
  <si>
    <t>تهران</t>
  </si>
  <si>
    <t>روزانه</t>
  </si>
  <si>
    <t>نرم افزار</t>
  </si>
  <si>
    <t>معماری</t>
  </si>
  <si>
    <t>شبکه</t>
  </si>
  <si>
    <t>بيوانفورماتيک</t>
  </si>
  <si>
    <t>امنیت</t>
  </si>
  <si>
    <t>بدون خوابگاه</t>
  </si>
  <si>
    <t>4-4-5-4</t>
  </si>
  <si>
    <t>شبانه</t>
  </si>
  <si>
    <t>5-3-8-3</t>
  </si>
  <si>
    <t>امیرکبیر</t>
  </si>
  <si>
    <t>فردوسي</t>
  </si>
  <si>
    <t>13-13-10-14</t>
  </si>
  <si>
    <t>22-28-11-21</t>
  </si>
  <si>
    <t>11-8-13-8</t>
  </si>
  <si>
    <t>بهشتی</t>
  </si>
  <si>
    <t>علم و صنعت</t>
  </si>
  <si>
    <t>8-11-14-13</t>
  </si>
  <si>
    <t>16-15-15-10</t>
  </si>
  <si>
    <t>؟؟؟؟؟</t>
  </si>
  <si>
    <t>بوعلی همدان</t>
  </si>
  <si>
    <t>20-18-19-20</t>
  </si>
  <si>
    <t>15-12-20-17</t>
  </si>
  <si>
    <t>21-16-22-19</t>
  </si>
  <si>
    <t>مدرس</t>
  </si>
  <si>
    <t>خواجه نصير</t>
  </si>
  <si>
    <t>18-17-23-16</t>
  </si>
  <si>
    <t>27-30-26-31</t>
  </si>
  <si>
    <t>26-26-27-32</t>
  </si>
  <si>
    <t>31-23-30-24</t>
  </si>
  <si>
    <t>صنعتي اصفهان</t>
  </si>
  <si>
    <t>35-41-33-44</t>
  </si>
  <si>
    <t>IT</t>
  </si>
  <si>
    <t>37-44-36-46</t>
  </si>
  <si>
    <t>سال بعد</t>
  </si>
  <si>
    <t>تهران (فارابي)</t>
  </si>
  <si>
    <t>صنعتی اصفهان</t>
  </si>
  <si>
    <t>29-29-39-22</t>
  </si>
  <si>
    <t>فناوری شبکه</t>
  </si>
  <si>
    <t>38-42-40-53</t>
  </si>
  <si>
    <t>خواجه نصیر</t>
  </si>
  <si>
    <t>39-38-48-36</t>
  </si>
  <si>
    <t>CS</t>
  </si>
  <si>
    <t>46-32-49-39</t>
  </si>
  <si>
    <t>الزهرا</t>
  </si>
  <si>
    <t>اصفهان</t>
  </si>
  <si>
    <t>شيراز</t>
  </si>
  <si>
    <t>41-36-51-38</t>
  </si>
  <si>
    <t>علم و صنعت (نور)</t>
  </si>
  <si>
    <t>47-45-57-37</t>
  </si>
  <si>
    <t>بهشتي</t>
  </si>
  <si>
    <t>خوارزمي</t>
  </si>
  <si>
    <t>61-58-65-60</t>
  </si>
  <si>
    <t>علوم داده</t>
  </si>
  <si>
    <t>74-74-67-65</t>
  </si>
  <si>
    <t>56-48-68-45</t>
  </si>
  <si>
    <t>81-88-71-72</t>
  </si>
  <si>
    <t>تبريز</t>
  </si>
  <si>
    <t>77-104-76-101</t>
  </si>
  <si>
    <t>91-110-77-91</t>
  </si>
  <si>
    <t>68-64-79-55</t>
  </si>
  <si>
    <t>رجایی</t>
  </si>
  <si>
    <t>شبانه+ شاگرد اولي</t>
  </si>
  <si>
    <t>رجائي</t>
  </si>
  <si>
    <t>78-84-96-86</t>
  </si>
  <si>
    <t>120-140-99-114</t>
  </si>
  <si>
    <t>92-89-101-89</t>
  </si>
  <si>
    <t>نوشيرواني بابل</t>
  </si>
  <si>
    <t>بجنورد</t>
  </si>
  <si>
    <t>اراک</t>
  </si>
  <si>
    <t>مالک اشتر</t>
  </si>
  <si>
    <t>108-115-103-140</t>
  </si>
  <si>
    <t>قرآن کاوي</t>
  </si>
  <si>
    <t>بوعلي همدان</t>
  </si>
  <si>
    <t>گيلان</t>
  </si>
  <si>
    <t>85-73-104-76</t>
  </si>
  <si>
    <t>102-96-105-92</t>
  </si>
  <si>
    <t>شاهد</t>
  </si>
  <si>
    <t>مدني آذربايجان</t>
  </si>
  <si>
    <t>کردستان</t>
  </si>
  <si>
    <t>صنعتي شيراز</t>
  </si>
  <si>
    <t>89-61-121-67</t>
  </si>
  <si>
    <t>121-122-124-116</t>
  </si>
  <si>
    <t>اروميه</t>
  </si>
  <si>
    <t>106-101-130-97</t>
  </si>
  <si>
    <t>يزد</t>
  </si>
  <si>
    <t>121-143-132-155</t>
  </si>
  <si>
    <t>رازي کرمانشاه</t>
  </si>
  <si>
    <t>قزوين</t>
  </si>
  <si>
    <t>148-168-142-128</t>
  </si>
  <si>
    <t>132-146-149-129</t>
  </si>
  <si>
    <t>141-120-150-136</t>
  </si>
  <si>
    <t>180-163-159-196</t>
  </si>
  <si>
    <t>178-170-160-145</t>
  </si>
  <si>
    <t>186-184-160-170</t>
  </si>
  <si>
    <t>170-177-167-186</t>
  </si>
  <si>
    <t>شیراز</t>
  </si>
  <si>
    <t>201-201-177-174</t>
  </si>
  <si>
    <t>سهند</t>
  </si>
  <si>
    <t>265-265-197-298</t>
  </si>
  <si>
    <t>شاهرود</t>
  </si>
  <si>
    <t>192-196-215-246</t>
  </si>
  <si>
    <t>مازندران</t>
  </si>
  <si>
    <t>156-137-218-161</t>
  </si>
  <si>
    <t>سيستان</t>
  </si>
  <si>
    <t>چمران اهواز</t>
  </si>
  <si>
    <t>36-42-35-41</t>
  </si>
  <si>
    <t>زنجان</t>
  </si>
  <si>
    <t>223-221-257-270</t>
  </si>
  <si>
    <t>گلستان</t>
  </si>
  <si>
    <t>260-317-264-274</t>
  </si>
  <si>
    <t>باهنر کرمان</t>
  </si>
  <si>
    <t>23-15-42-21</t>
  </si>
  <si>
    <t>331-347-286-292</t>
  </si>
  <si>
    <t>206-167-290-238</t>
  </si>
  <si>
    <t>32-25-49-30</t>
  </si>
  <si>
    <t>293-308-334-312</t>
  </si>
  <si>
    <t>49-63-58-40</t>
  </si>
  <si>
    <t>44-37-67-60</t>
  </si>
  <si>
    <t>قم</t>
  </si>
  <si>
    <t>389-407-416-318</t>
  </si>
  <si>
    <t>222-144-430-233</t>
  </si>
  <si>
    <t>81-90-90-80</t>
  </si>
  <si>
    <t>107-140-112-102</t>
  </si>
  <si>
    <t>487-367-666-507</t>
  </si>
  <si>
    <t>172-145-191-140</t>
  </si>
  <si>
    <t>تخصصی 4
(سیستم-پایگاه-شبکه)
20</t>
  </si>
  <si>
    <t>تخصصی 3
(منطقی-معماری)
20</t>
  </si>
  <si>
    <t>تخصصی 2
(داده الگو-هوش)
20</t>
  </si>
  <si>
    <t>تخصصی 1
(نظریه-سیگنال)
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</si>
</sst>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name val="Arial"/>
    </font>
    <font>
      <b/>
      <sz val="14"/>
      <name val="B traffic"/>
    </font>
    <font>
      <b/>
      <sz val="14"/>
      <color rgb="FFC00000"/>
      <name val="B traffic"/>
    </font>
    <font>
      <b/>
      <sz val="14"/>
      <color rgb="FFFF0000"/>
      <name val="B traffic"/>
    </font>
    <font>
      <sz val="11"/>
      <name val="B titr"/>
    </font>
    <font>
      <b/>
      <sz val="12"/>
      <name val="B titr"/>
    </font>
    <font>
      <sz val="11"/>
      <color rgb="FFC00000"/>
      <name val="B titr"/>
    </font>
    <font>
      <sz val="12"/>
      <name val="B titr"/>
    </font>
    <font>
      <b/>
      <sz val="14"/>
      <color rgb="FF381850"/>
      <name val="B traffic"/>
    </font>
    <font>
      <b/>
      <sz val="12"/>
      <name val="B traffic"/>
    </font>
    <font>
      <sz val="11"/>
      <color rgb="FFC00000"/>
      <name val="Arial"/>
    </font>
    <font>
      <sz val="9"/>
      <name val="B Titr"/>
    </font>
    <font>
      <sz val="10"/>
      <name val="B Titr"/>
    </font>
  </fonts>
  <fills count="7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ABF8F"/>
        <bgColor rgb="FFFABF8F"/>
      </patternFill>
    </fill>
    <fill>
      <patternFill patternType="solid">
        <fgColor rgb="FFABE9FF"/>
        <bgColor rgb="FFABE9FF"/>
      </patternFill>
    </fill>
    <fill>
      <patternFill patternType="solid">
        <fgColor rgb="FFCCC0D9"/>
        <bgColor rgb="FFCCC0D9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76923C"/>
      </bottom>
      <diagonal/>
    </border>
    <border>
      <left style="thick">
        <color rgb="FF76923C"/>
      </left>
      <right style="thick">
        <color rgb="FF76923C"/>
      </right>
      <top/>
      <bottom/>
      <diagonal/>
    </border>
    <border>
      <left style="thick">
        <color rgb="FF76923C"/>
      </left>
      <right style="thick">
        <color rgb="FF76923C"/>
      </right>
      <top/>
      <bottom style="thick">
        <color rgb="FF76923C"/>
      </bottom>
      <diagonal/>
    </border>
    <border>
      <left style="thick">
        <color rgb="FF76923C"/>
      </left>
      <right style="thick">
        <color rgb="FFA8D08E"/>
      </right>
      <top style="thick">
        <color rgb="FF76923C"/>
      </top>
      <bottom style="thick">
        <color rgb="FF76923C"/>
      </bottom>
      <diagonal/>
    </border>
    <border>
      <left style="thick">
        <color rgb="FF61943E"/>
      </left>
      <right style="thick">
        <color rgb="FFA8D08E"/>
      </right>
      <top style="thick">
        <color rgb="FF76923C"/>
      </top>
      <bottom style="thick">
        <color rgb="FF76923C"/>
      </bottom>
      <diagonal/>
    </border>
    <border>
      <left style="thick">
        <color rgb="FF61943E"/>
      </left>
      <right style="thick">
        <color rgb="FF76923C"/>
      </right>
      <top style="thick">
        <color rgb="FF76923C"/>
      </top>
      <bottom style="thick">
        <color rgb="FF76923C"/>
      </bottom>
      <diagonal/>
    </border>
    <border>
      <left style="thick">
        <color rgb="FF61943E"/>
      </left>
      <right style="thick">
        <color rgb="FF76923C"/>
      </right>
      <top/>
      <bottom style="thick">
        <color rgb="FF76923C"/>
      </bottom>
      <diagonal/>
    </border>
    <border>
      <left style="thick">
        <color rgb="FF76923C"/>
      </left>
      <right/>
      <top style="thick">
        <color rgb="FF76923C"/>
      </top>
      <bottom style="thick">
        <color rgb="FF76923C"/>
      </bottom>
      <diagonal/>
    </border>
    <border>
      <left style="thick">
        <color rgb="FF76923C"/>
      </left>
      <right style="thick">
        <color rgb="FF76923C"/>
      </right>
      <top style="thick">
        <color rgb="FF76923C"/>
      </top>
      <bottom style="thick">
        <color rgb="FF76923C"/>
      </bottom>
      <diagonal/>
    </border>
    <border>
      <left/>
      <right style="thick">
        <color rgb="FF76923C"/>
      </right>
      <top style="thick">
        <color rgb="FF76923C"/>
      </top>
      <bottom style="thick">
        <color rgb="FF76923C"/>
      </bottom>
      <diagonal/>
    </border>
    <border>
      <left/>
      <right/>
      <top style="thick">
        <color rgb="FF76923C"/>
      </top>
      <bottom style="thick">
        <color rgb="FF76923C"/>
      </bottom>
      <diagonal/>
    </border>
    <border>
      <left style="thick">
        <color rgb="FF76923C"/>
      </left>
      <right style="thick">
        <color rgb="FF61943E"/>
      </right>
      <top style="thick">
        <color rgb="FF76923C"/>
      </top>
      <bottom style="thick">
        <color rgb="FF76923C"/>
      </bottom>
      <diagonal/>
    </border>
    <border>
      <left style="thick">
        <color rgb="FF61943E"/>
      </left>
      <right style="thick">
        <color rgb="FF61943E"/>
      </right>
      <top style="thick">
        <color rgb="FF76923C"/>
      </top>
      <bottom style="thick">
        <color rgb="FF76923C"/>
      </bottom>
      <diagonal/>
    </border>
    <border>
      <left style="thick">
        <color rgb="FF61943E"/>
      </left>
      <right style="thick">
        <color rgb="FF76923C"/>
      </right>
      <top/>
      <bottom style="thick">
        <color rgb="FFA8D08E"/>
      </bottom>
      <diagonal/>
    </border>
    <border>
      <left/>
      <right style="thick">
        <color rgb="FF76923C"/>
      </right>
      <top/>
      <bottom style="thick">
        <color rgb="FFA8D08E"/>
      </bottom>
      <diagonal/>
    </border>
    <border>
      <left style="thick">
        <color rgb="FF76923C"/>
      </left>
      <right style="thick">
        <color rgb="FF76923C"/>
      </right>
      <top/>
      <bottom style="thick">
        <color rgb="FFA8D08E"/>
      </bottom>
      <diagonal/>
    </border>
    <border>
      <left style="thick">
        <color rgb="FF76923C"/>
      </left>
      <right style="thick">
        <color rgb="FFA8D08D"/>
      </right>
      <top/>
      <bottom style="thick">
        <color rgb="FFA8D08D"/>
      </bottom>
      <diagonal/>
    </border>
    <border>
      <left style="thick">
        <color rgb="FFA8D08D"/>
      </left>
      <right/>
      <top style="thick">
        <color rgb="FFA8D08D"/>
      </top>
      <bottom style="thick">
        <color rgb="FFA8D08D"/>
      </bottom>
      <diagonal/>
    </border>
    <border>
      <left style="thick">
        <color rgb="FFA8D08D"/>
      </left>
      <right style="thick">
        <color rgb="FF76923C"/>
      </right>
      <top style="thick">
        <color rgb="FFA8D08D"/>
      </top>
      <bottom style="thick">
        <color rgb="FFA8D08D"/>
      </bottom>
      <diagonal/>
    </border>
    <border>
      <left style="thick">
        <color rgb="FF76923C"/>
      </left>
      <right style="thick">
        <color rgb="FF76923C"/>
      </right>
      <top/>
      <bottom style="thick">
        <color rgb="FFA8D08D"/>
      </bottom>
      <diagonal/>
    </border>
    <border>
      <left/>
      <right style="thick">
        <color rgb="FF76923C"/>
      </right>
      <top/>
      <bottom style="thick">
        <color rgb="FFA8D08D"/>
      </bottom>
      <diagonal/>
    </border>
    <border>
      <left style="thick">
        <color rgb="FF61943E"/>
      </left>
      <right style="thick">
        <color rgb="FF76923C"/>
      </right>
      <top style="thick">
        <color rgb="FFA8D08E"/>
      </top>
      <bottom style="thick">
        <color rgb="FFA8D08E"/>
      </bottom>
      <diagonal/>
    </border>
    <border>
      <left/>
      <right style="thick">
        <color rgb="FF76923C"/>
      </right>
      <top style="thick">
        <color rgb="FFA8D08E"/>
      </top>
      <bottom style="thick">
        <color rgb="FFA8D08E"/>
      </bottom>
      <diagonal/>
    </border>
    <border>
      <left style="thick">
        <color rgb="FF76923C"/>
      </left>
      <right style="thick">
        <color rgb="FF76923C"/>
      </right>
      <top style="thick">
        <color rgb="FFA8D08E"/>
      </top>
      <bottom style="thick">
        <color rgb="FFA8D08E"/>
      </bottom>
      <diagonal/>
    </border>
    <border>
      <left style="thick">
        <color rgb="FF76923C"/>
      </left>
      <right style="thick">
        <color rgb="FFA8D08D"/>
      </right>
      <top style="thick">
        <color rgb="FFA8D08D"/>
      </top>
      <bottom style="thick">
        <color rgb="FFA8D08D"/>
      </bottom>
      <diagonal/>
    </border>
    <border>
      <left style="thick">
        <color rgb="FF76923C"/>
      </left>
      <right style="thick">
        <color rgb="FF76923C"/>
      </right>
      <top style="thick">
        <color rgb="FFA8D08D"/>
      </top>
      <bottom style="thick">
        <color rgb="FFA8D08D"/>
      </bottom>
      <diagonal/>
    </border>
    <border>
      <left/>
      <right style="thick">
        <color rgb="FF76923C"/>
      </right>
      <top style="thick">
        <color rgb="FFA8D08D"/>
      </top>
      <bottom style="thick">
        <color rgb="FFA8D08D"/>
      </bottom>
      <diagonal/>
    </border>
    <border>
      <left style="thick">
        <color rgb="FF76923C"/>
      </left>
      <right style="thick">
        <color rgb="FFA8D08D"/>
      </right>
      <top style="thick">
        <color rgb="FFA8D08D"/>
      </top>
      <bottom/>
      <diagonal/>
    </border>
    <border>
      <left/>
      <right style="thick">
        <color rgb="FF76923C"/>
      </right>
      <top/>
      <bottom/>
      <diagonal/>
    </border>
    <border>
      <left/>
      <right style="thick">
        <color rgb="FF76923C"/>
      </right>
      <top style="thick">
        <color rgb="FFA8D08E"/>
      </top>
      <bottom/>
      <diagonal/>
    </border>
    <border>
      <left style="thick">
        <color rgb="FF76923C"/>
      </left>
      <right style="thick">
        <color rgb="FF76923C"/>
      </right>
      <top style="thick">
        <color rgb="FFA8D08E"/>
      </top>
      <bottom/>
      <diagonal/>
    </border>
    <border>
      <left style="thick">
        <color rgb="FF76923C"/>
      </left>
      <right style="thick">
        <color rgb="FF76923C"/>
      </right>
      <top style="thick">
        <color rgb="FFA8D08E"/>
      </top>
      <bottom style="thick">
        <color rgb="FF76923C"/>
      </bottom>
      <diagonal/>
    </border>
    <border>
      <left/>
      <right style="thick">
        <color rgb="FF76923C"/>
      </right>
      <top style="thick">
        <color rgb="FFA8D08E"/>
      </top>
      <bottom style="thick">
        <color rgb="FF76923C"/>
      </bottom>
      <diagonal/>
    </border>
    <border>
      <left style="thick">
        <color rgb="FF76923C"/>
      </left>
      <right style="thick">
        <color rgb="FF76923C"/>
      </right>
      <top style="thick">
        <color rgb="FFA8D08E"/>
      </top>
      <bottom style="thick">
        <color rgb="FF61943E"/>
      </bottom>
      <diagonal/>
    </border>
    <border>
      <left style="thick">
        <color rgb="FF76923C"/>
      </left>
      <right/>
      <top/>
      <bottom style="thick">
        <color rgb="FF76923C"/>
      </bottom>
      <diagonal/>
    </border>
    <border>
      <left style="thick">
        <color rgb="FFA8D08D"/>
      </left>
      <right style="thick">
        <color rgb="FF76923C"/>
      </right>
      <top style="thick">
        <color rgb="FFA8D08D"/>
      </top>
      <bottom style="thick">
        <color rgb="FF76923C"/>
      </bottom>
      <diagonal/>
    </border>
    <border>
      <left style="thick">
        <color rgb="FFA8D08D"/>
      </left>
      <right style="thick">
        <color rgb="FF76923C"/>
      </right>
      <top style="thick">
        <color rgb="FFA8D08D"/>
      </top>
      <bottom/>
      <diagonal/>
    </border>
    <border>
      <left/>
      <right style="thick">
        <color rgb="FF76923C"/>
      </right>
      <top/>
      <bottom style="thick">
        <color rgb="FF76923C"/>
      </bottom>
      <diagonal/>
    </border>
    <border>
      <left/>
      <right/>
      <top style="thick">
        <color rgb="FF76923C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8" fillId="5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0" borderId="29" xfId="0" applyBorder="1"/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8" fillId="6" borderId="26" xfId="0" applyFont="1" applyFill="1" applyBorder="1" applyAlignment="1">
      <alignment horizontal="center" vertical="center"/>
    </xf>
    <xf numFmtId="0" fontId="8" fillId="6" borderId="27" xfId="0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10" fillId="0" borderId="0" xfId="0" applyFont="1"/>
    <xf numFmtId="0" fontId="0" fillId="0" borderId="39" xfId="0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01"/>
  <sheetViews>
    <sheetView zoomScale="70" zoomScaleNormal="70" workbookViewId="0">
      <pane ySplit="5" topLeftCell="A284" activePane="bottomLeft" state="frozen"/>
      <selection pane="bottomLeft" activeCell="F5" sqref="F5:T295"/>
    </sheetView>
  </sheetViews>
  <sheetFormatPr defaultColWidth="14.375" defaultRowHeight="15" customHeight="1"/>
  <cols>
    <col min="1" max="1" width="2.375" customWidth="1"/>
    <col min="2" max="4" width="16.25" customWidth="1"/>
    <col min="5" max="5" width="24.875" customWidth="1"/>
    <col min="6" max="14" width="9" customWidth="1"/>
    <col min="15" max="20" width="13.875" customWidth="1"/>
    <col min="21" max="21" width="4.375" customWidth="1"/>
    <col min="22" max="22" width="14" customWidth="1"/>
    <col min="23" max="23" width="3" customWidth="1"/>
    <col min="24" max="24" width="11.25" customWidth="1"/>
    <col min="25" max="26" width="6.25" customWidth="1"/>
    <col min="27" max="28" width="11.25" customWidth="1"/>
    <col min="29" max="34" width="8.75" customWidth="1"/>
    <col min="35" max="35" width="9" customWidth="1"/>
    <col min="36" max="36" width="4.75" customWidth="1"/>
    <col min="37" max="37" width="12.375" customWidth="1"/>
    <col min="38" max="38" width="11.375" customWidth="1"/>
    <col min="39" max="39" width="12.625" customWidth="1"/>
  </cols>
  <sheetData>
    <row r="1" spans="2:32" ht="15" customHeight="1">
      <c r="B1" s="1"/>
      <c r="C1" s="1"/>
      <c r="D1" s="1"/>
      <c r="E1" s="1"/>
      <c r="F1" s="2"/>
      <c r="G1" s="3"/>
      <c r="H1" s="2"/>
      <c r="I1" s="3"/>
      <c r="J1" s="2"/>
      <c r="K1" s="3"/>
      <c r="L1" s="2"/>
      <c r="M1" s="1"/>
      <c r="N1" s="1"/>
      <c r="O1" s="3"/>
      <c r="P1" s="3"/>
      <c r="Q1" s="3"/>
      <c r="R1" s="3"/>
      <c r="S1" s="3"/>
      <c r="T1" s="1"/>
      <c r="U1" s="1"/>
      <c r="V1" s="1"/>
    </row>
    <row r="2" spans="2:32" ht="37.5" customHeight="1"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1"/>
      <c r="V2" s="1"/>
      <c r="X2" s="4"/>
      <c r="Y2" s="4"/>
      <c r="Z2" s="4"/>
    </row>
    <row r="3" spans="2:32" ht="38.25" customHeight="1"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U3" s="5"/>
      <c r="V3" s="75"/>
      <c r="W3" s="75"/>
      <c r="X3" s="75"/>
      <c r="Y3" s="75"/>
      <c r="Z3" s="75"/>
    </row>
    <row r="4" spans="2:32" ht="37.5" customHeight="1">
      <c r="B4" s="75"/>
      <c r="C4" s="75"/>
      <c r="D4" s="75"/>
      <c r="F4" s="75"/>
      <c r="G4" s="75"/>
      <c r="H4" s="75"/>
      <c r="I4" s="75"/>
      <c r="J4" s="75"/>
      <c r="K4" s="75"/>
      <c r="L4" s="75"/>
      <c r="M4" s="75"/>
      <c r="O4" s="75"/>
      <c r="P4" s="75"/>
      <c r="Q4" s="75"/>
      <c r="R4" s="75"/>
      <c r="S4" s="75"/>
      <c r="T4" s="75"/>
    </row>
    <row r="5" spans="2:32" ht="67.5" customHeight="1">
      <c r="B5" s="6" t="s">
        <v>0</v>
      </c>
      <c r="C5" s="7" t="s">
        <v>1</v>
      </c>
      <c r="D5" s="8" t="s">
        <v>2</v>
      </c>
      <c r="E5" s="9" t="s">
        <v>3</v>
      </c>
      <c r="F5" s="10" t="s">
        <v>4</v>
      </c>
      <c r="G5" s="11" t="s">
        <v>5</v>
      </c>
      <c r="H5" s="10" t="s">
        <v>6</v>
      </c>
      <c r="I5" s="11" t="s">
        <v>7</v>
      </c>
      <c r="J5" s="12" t="s">
        <v>8</v>
      </c>
      <c r="K5" s="13" t="s">
        <v>9</v>
      </c>
      <c r="L5" s="14" t="s">
        <v>10</v>
      </c>
      <c r="M5" s="15" t="s">
        <v>11</v>
      </c>
      <c r="N5" s="16" t="s">
        <v>12</v>
      </c>
      <c r="O5" s="17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8" t="s">
        <v>18</v>
      </c>
    </row>
    <row r="6" spans="2:32" ht="4.5" hidden="1" customHeight="1">
      <c r="B6" s="19"/>
      <c r="C6" s="19"/>
      <c r="D6" s="19"/>
      <c r="E6" s="20"/>
      <c r="F6" s="21"/>
      <c r="G6" s="19"/>
      <c r="H6" s="21"/>
      <c r="I6" s="19"/>
      <c r="J6" s="21"/>
      <c r="K6" s="19"/>
      <c r="L6" s="21"/>
      <c r="M6" s="19"/>
      <c r="N6" s="22"/>
      <c r="O6" s="23"/>
      <c r="P6" s="23"/>
      <c r="Q6" s="23"/>
      <c r="R6" s="23"/>
      <c r="S6" s="23"/>
      <c r="T6" s="23"/>
    </row>
    <row r="7" spans="2:32" ht="30.75" customHeight="1">
      <c r="B7" s="24"/>
      <c r="C7" s="25" t="s">
        <v>19</v>
      </c>
      <c r="D7" s="25" t="s">
        <v>20</v>
      </c>
      <c r="E7" s="26"/>
      <c r="F7" s="27">
        <v>1</v>
      </c>
      <c r="G7" s="28" t="e">
        <f t="shared" ref="G7:G261" ca="1" si="0">kkk(T7,S7,R7,Q7,P7,O7,4)</f>
        <v>#NAME?</v>
      </c>
      <c r="H7" s="27">
        <v>1</v>
      </c>
      <c r="I7" s="29" t="e">
        <f t="shared" ref="I7:I261" ca="1" si="1">kkk(T7,S7,R7,Q7,P7,O7,3)</f>
        <v>#NAME?</v>
      </c>
      <c r="J7" s="27">
        <v>1</v>
      </c>
      <c r="K7" s="29" t="e">
        <f t="shared" ref="K7:K261" ca="1" si="2">kkk(T7,S7,R7,Q7,P7,O7,2)</f>
        <v>#NAME?</v>
      </c>
      <c r="L7" s="27">
        <v>1</v>
      </c>
      <c r="M7" s="29" t="e">
        <f t="shared" ref="M7:M261" ca="1" si="3">kkk(T7,S7,R7,Q7,P7,O7,1)</f>
        <v>#NAME?</v>
      </c>
      <c r="N7" s="30">
        <v>16.84</v>
      </c>
      <c r="O7" s="31">
        <v>68.33</v>
      </c>
      <c r="P7" s="31">
        <v>58.82</v>
      </c>
      <c r="Q7" s="31">
        <v>85.42</v>
      </c>
      <c r="R7" s="31">
        <v>80</v>
      </c>
      <c r="S7" s="31">
        <v>14.04</v>
      </c>
      <c r="T7" s="32">
        <v>0</v>
      </c>
    </row>
    <row r="8" spans="2:32" ht="30.75" customHeight="1">
      <c r="B8" s="33"/>
      <c r="C8" s="34" t="s">
        <v>19</v>
      </c>
      <c r="D8" s="34" t="s">
        <v>20</v>
      </c>
      <c r="E8" s="35"/>
      <c r="F8" s="36">
        <v>2</v>
      </c>
      <c r="G8" s="28" t="e">
        <f t="shared" ca="1" si="0"/>
        <v>#NAME?</v>
      </c>
      <c r="H8" s="36">
        <v>2</v>
      </c>
      <c r="I8" s="29" t="e">
        <f t="shared" ca="1" si="1"/>
        <v>#NAME?</v>
      </c>
      <c r="J8" s="36">
        <v>2</v>
      </c>
      <c r="K8" s="29" t="e">
        <f t="shared" ca="1" si="2"/>
        <v>#NAME?</v>
      </c>
      <c r="L8" s="36">
        <v>2</v>
      </c>
      <c r="M8" s="29" t="e">
        <f t="shared" ca="1" si="3"/>
        <v>#NAME?</v>
      </c>
      <c r="N8" s="37">
        <v>16.649999999999999</v>
      </c>
      <c r="O8" s="38">
        <v>68.42</v>
      </c>
      <c r="P8" s="38">
        <v>47.06</v>
      </c>
      <c r="Q8" s="38">
        <v>55.56</v>
      </c>
      <c r="R8" s="38">
        <v>44.44</v>
      </c>
      <c r="S8" s="38">
        <v>35.090000000000003</v>
      </c>
      <c r="T8" s="39">
        <v>76.67</v>
      </c>
    </row>
    <row r="9" spans="2:32" ht="30.75" customHeight="1">
      <c r="B9" s="33"/>
      <c r="C9" s="34"/>
      <c r="D9" s="34"/>
      <c r="E9" s="35"/>
      <c r="F9" s="36">
        <v>5</v>
      </c>
      <c r="G9" s="28" t="e">
        <f t="shared" ca="1" si="0"/>
        <v>#NAME?</v>
      </c>
      <c r="H9" s="36">
        <v>4</v>
      </c>
      <c r="I9" s="29" t="e">
        <f t="shared" ca="1" si="1"/>
        <v>#NAME?</v>
      </c>
      <c r="J9" s="36">
        <v>5</v>
      </c>
      <c r="K9" s="29" t="e">
        <f t="shared" ca="1" si="2"/>
        <v>#NAME?</v>
      </c>
      <c r="L9" s="36">
        <v>4</v>
      </c>
      <c r="M9" s="29" t="e">
        <f t="shared" ca="1" si="3"/>
        <v>#NAME?</v>
      </c>
      <c r="N9" s="37">
        <v>17.8</v>
      </c>
      <c r="O9" s="38">
        <v>55</v>
      </c>
      <c r="P9" s="38">
        <v>64.709999999999994</v>
      </c>
      <c r="Q9" s="38">
        <v>41.67</v>
      </c>
      <c r="R9" s="38">
        <v>74.069999999999993</v>
      </c>
      <c r="S9" s="38">
        <v>3.51</v>
      </c>
      <c r="T9" s="39">
        <v>25.56</v>
      </c>
      <c r="AA9" s="1"/>
      <c r="AB9" s="1"/>
      <c r="AC9" s="1"/>
      <c r="AD9" s="1"/>
      <c r="AE9" s="1"/>
      <c r="AF9" s="1"/>
    </row>
    <row r="10" spans="2:32" ht="30.75" customHeight="1">
      <c r="B10" s="33"/>
      <c r="C10" s="34" t="s">
        <v>21</v>
      </c>
      <c r="D10" s="34" t="s">
        <v>20</v>
      </c>
      <c r="E10" s="35"/>
      <c r="F10" s="36">
        <v>8</v>
      </c>
      <c r="G10" s="28" t="e">
        <f t="shared" ca="1" si="0"/>
        <v>#NAME?</v>
      </c>
      <c r="H10" s="36">
        <v>9</v>
      </c>
      <c r="I10" s="29" t="e">
        <f t="shared" ca="1" si="1"/>
        <v>#NAME?</v>
      </c>
      <c r="J10" s="36">
        <v>7</v>
      </c>
      <c r="K10" s="29" t="e">
        <f t="shared" ca="1" si="2"/>
        <v>#NAME?</v>
      </c>
      <c r="L10" s="36">
        <v>14</v>
      </c>
      <c r="M10" s="29" t="e">
        <f t="shared" ca="1" si="3"/>
        <v>#NAME?</v>
      </c>
      <c r="N10" s="37" t="s">
        <v>22</v>
      </c>
      <c r="O10" s="38">
        <v>29.82</v>
      </c>
      <c r="P10" s="38">
        <v>49.02</v>
      </c>
      <c r="Q10" s="38">
        <v>64.44</v>
      </c>
      <c r="R10" s="38">
        <v>66.67</v>
      </c>
      <c r="S10" s="38">
        <v>0</v>
      </c>
      <c r="T10" s="39">
        <v>61.11</v>
      </c>
    </row>
    <row r="11" spans="2:32" ht="30.75" customHeight="1">
      <c r="B11" s="33"/>
      <c r="C11" s="34" t="s">
        <v>19</v>
      </c>
      <c r="D11" s="34" t="s">
        <v>20</v>
      </c>
      <c r="E11" s="35"/>
      <c r="F11" s="36">
        <v>9</v>
      </c>
      <c r="G11" s="28" t="e">
        <f t="shared" ca="1" si="0"/>
        <v>#NAME?</v>
      </c>
      <c r="H11" s="36">
        <v>12</v>
      </c>
      <c r="I11" s="29" t="e">
        <f t="shared" ca="1" si="1"/>
        <v>#NAME?</v>
      </c>
      <c r="J11" s="36">
        <v>8</v>
      </c>
      <c r="K11" s="29" t="e">
        <f t="shared" ca="1" si="2"/>
        <v>#NAME?</v>
      </c>
      <c r="L11" s="36">
        <v>14</v>
      </c>
      <c r="M11" s="29" t="e">
        <f t="shared" ca="1" si="3"/>
        <v>#NAME?</v>
      </c>
      <c r="N11" s="37">
        <v>14.96</v>
      </c>
      <c r="O11" s="38">
        <v>43.86</v>
      </c>
      <c r="P11" s="38">
        <v>47.06</v>
      </c>
      <c r="Q11" s="38">
        <v>64.709999999999994</v>
      </c>
      <c r="R11" s="38">
        <v>80</v>
      </c>
      <c r="S11" s="38">
        <v>5.26</v>
      </c>
      <c r="T11" s="39">
        <v>3.33</v>
      </c>
    </row>
    <row r="12" spans="2:32" ht="30.75" customHeight="1">
      <c r="B12" s="33" t="s">
        <v>23</v>
      </c>
      <c r="C12" s="34" t="s">
        <v>19</v>
      </c>
      <c r="D12" s="34" t="s">
        <v>24</v>
      </c>
      <c r="E12" s="35"/>
      <c r="F12" s="36">
        <v>7</v>
      </c>
      <c r="G12" s="28" t="e">
        <f t="shared" ca="1" si="0"/>
        <v>#NAME?</v>
      </c>
      <c r="H12" s="36">
        <v>6</v>
      </c>
      <c r="I12" s="29" t="e">
        <f t="shared" ca="1" si="1"/>
        <v>#NAME?</v>
      </c>
      <c r="J12" s="36">
        <v>9</v>
      </c>
      <c r="K12" s="29" t="e">
        <f t="shared" ca="1" si="2"/>
        <v>#NAME?</v>
      </c>
      <c r="L12" s="36">
        <v>6</v>
      </c>
      <c r="M12" s="29" t="e">
        <f t="shared" ca="1" si="3"/>
        <v>#NAME?</v>
      </c>
      <c r="N12" s="37">
        <v>19.41</v>
      </c>
      <c r="O12" s="38">
        <v>50.88</v>
      </c>
      <c r="P12" s="38">
        <v>49.02</v>
      </c>
      <c r="Q12" s="38">
        <v>44.44</v>
      </c>
      <c r="R12" s="38">
        <v>37.04</v>
      </c>
      <c r="S12" s="38">
        <v>21.05</v>
      </c>
      <c r="T12" s="39">
        <v>82.22</v>
      </c>
    </row>
    <row r="13" spans="2:32" ht="30.75" customHeight="1">
      <c r="B13" s="33"/>
      <c r="C13" s="35"/>
      <c r="D13" s="34"/>
      <c r="E13" s="35"/>
      <c r="F13" s="36">
        <v>10</v>
      </c>
      <c r="G13" s="28" t="e">
        <f t="shared" ca="1" si="0"/>
        <v>#NAME?</v>
      </c>
      <c r="H13" s="36">
        <v>10</v>
      </c>
      <c r="I13" s="29" t="e">
        <f t="shared" ca="1" si="1"/>
        <v>#NAME?</v>
      </c>
      <c r="J13" s="36">
        <v>10</v>
      </c>
      <c r="K13" s="29" t="e">
        <f t="shared" ca="1" si="2"/>
        <v>#NAME?</v>
      </c>
      <c r="L13" s="36">
        <v>13</v>
      </c>
      <c r="M13" s="29" t="e">
        <f t="shared" ca="1" si="3"/>
        <v>#NAME?</v>
      </c>
      <c r="N13" s="37">
        <v>19.350000000000001</v>
      </c>
      <c r="O13" s="38">
        <v>42.11</v>
      </c>
      <c r="P13" s="38">
        <v>58.82</v>
      </c>
      <c r="Q13" s="38">
        <v>35.56</v>
      </c>
      <c r="R13" s="38">
        <v>66.67</v>
      </c>
      <c r="S13" s="38">
        <v>1.75</v>
      </c>
      <c r="T13" s="39">
        <v>47.78</v>
      </c>
    </row>
    <row r="14" spans="2:32" ht="30.75" customHeight="1">
      <c r="B14" s="33"/>
      <c r="C14" s="35" t="s">
        <v>19</v>
      </c>
      <c r="D14" s="34" t="s">
        <v>20</v>
      </c>
      <c r="E14" s="35"/>
      <c r="F14" s="36">
        <v>12</v>
      </c>
      <c r="G14" s="28" t="e">
        <f t="shared" ca="1" si="0"/>
        <v>#NAME?</v>
      </c>
      <c r="H14" s="36">
        <v>15</v>
      </c>
      <c r="I14" s="29" t="e">
        <f t="shared" ca="1" si="1"/>
        <v>#NAME?</v>
      </c>
      <c r="J14" s="36">
        <v>11</v>
      </c>
      <c r="K14" s="29" t="e">
        <f t="shared" ca="1" si="2"/>
        <v>#NAME?</v>
      </c>
      <c r="L14" s="36">
        <v>9</v>
      </c>
      <c r="M14" s="29" t="e">
        <f t="shared" ca="1" si="3"/>
        <v>#NAME?</v>
      </c>
      <c r="N14" s="37">
        <v>20</v>
      </c>
      <c r="O14" s="38">
        <v>61.4</v>
      </c>
      <c r="P14" s="38">
        <v>45.1</v>
      </c>
      <c r="Q14" s="38">
        <v>41.67</v>
      </c>
      <c r="R14" s="38">
        <v>55.56</v>
      </c>
      <c r="S14" s="38">
        <v>5.26</v>
      </c>
      <c r="T14" s="39">
        <v>0</v>
      </c>
    </row>
    <row r="15" spans="2:32" ht="30.75" customHeight="1">
      <c r="B15" s="33"/>
      <c r="C15" s="35" t="s">
        <v>19</v>
      </c>
      <c r="D15" s="34" t="s">
        <v>20</v>
      </c>
      <c r="E15" s="35"/>
      <c r="F15" s="36">
        <v>16</v>
      </c>
      <c r="G15" s="28" t="e">
        <f t="shared" ca="1" si="0"/>
        <v>#NAME?</v>
      </c>
      <c r="H15" s="36">
        <v>19</v>
      </c>
      <c r="I15" s="29" t="e">
        <f t="shared" ca="1" si="1"/>
        <v>#NAME?</v>
      </c>
      <c r="J15" s="36">
        <v>12</v>
      </c>
      <c r="K15" s="29" t="e">
        <f t="shared" ca="1" si="2"/>
        <v>#NAME?</v>
      </c>
      <c r="L15" s="36">
        <v>23</v>
      </c>
      <c r="M15" s="29" t="e">
        <f t="shared" ca="1" si="3"/>
        <v>#NAME?</v>
      </c>
      <c r="N15" s="37">
        <v>18.149999999999999</v>
      </c>
      <c r="O15" s="38">
        <v>24.56</v>
      </c>
      <c r="P15" s="38">
        <v>49.02</v>
      </c>
      <c r="Q15" s="38">
        <v>46.67</v>
      </c>
      <c r="R15" s="38">
        <v>74.069999999999993</v>
      </c>
      <c r="S15" s="38">
        <v>-1.74</v>
      </c>
      <c r="T15" s="39">
        <v>86.67</v>
      </c>
    </row>
    <row r="16" spans="2:32" ht="30.75" customHeight="1">
      <c r="B16" s="33"/>
      <c r="C16" s="35"/>
      <c r="D16" s="34"/>
      <c r="E16" s="35"/>
      <c r="F16" s="36">
        <v>11</v>
      </c>
      <c r="G16" s="28" t="e">
        <f t="shared" ca="1" si="0"/>
        <v>#NAME?</v>
      </c>
      <c r="H16" s="36">
        <v>7</v>
      </c>
      <c r="I16" s="29" t="e">
        <f t="shared" ca="1" si="1"/>
        <v>#NAME?</v>
      </c>
      <c r="J16" s="36">
        <v>13</v>
      </c>
      <c r="K16" s="29" t="e">
        <f t="shared" ca="1" si="2"/>
        <v>#NAME?</v>
      </c>
      <c r="L16" s="36">
        <v>7</v>
      </c>
      <c r="M16" s="29" t="e">
        <f t="shared" ca="1" si="3"/>
        <v>#NAME?</v>
      </c>
      <c r="N16" s="37">
        <v>16.07</v>
      </c>
      <c r="O16" s="38">
        <v>73.33</v>
      </c>
      <c r="P16" s="38">
        <v>60.78</v>
      </c>
      <c r="Q16" s="38">
        <v>25</v>
      </c>
      <c r="R16" s="38">
        <v>62.96</v>
      </c>
      <c r="S16" s="38">
        <v>-1.74</v>
      </c>
      <c r="T16" s="39">
        <v>18.89</v>
      </c>
    </row>
    <row r="17" spans="2:20" ht="30.75" customHeight="1">
      <c r="B17" s="33"/>
      <c r="C17" s="35"/>
      <c r="D17" s="34"/>
      <c r="E17" s="35"/>
      <c r="F17" s="36">
        <v>13</v>
      </c>
      <c r="G17" s="28" t="e">
        <f t="shared" ca="1" si="0"/>
        <v>#NAME?</v>
      </c>
      <c r="H17" s="36">
        <v>16</v>
      </c>
      <c r="I17" s="29" t="e">
        <f t="shared" ca="1" si="1"/>
        <v>#NAME?</v>
      </c>
      <c r="J17" s="36">
        <v>14</v>
      </c>
      <c r="K17" s="29" t="e">
        <f t="shared" ca="1" si="2"/>
        <v>#NAME?</v>
      </c>
      <c r="L17" s="36">
        <v>12</v>
      </c>
      <c r="M17" s="29" t="e">
        <f t="shared" ca="1" si="3"/>
        <v>#NAME?</v>
      </c>
      <c r="N17" s="37">
        <v>19.46</v>
      </c>
      <c r="O17" s="38">
        <v>60</v>
      </c>
      <c r="P17" s="38">
        <v>55.56</v>
      </c>
      <c r="Q17" s="38">
        <v>50</v>
      </c>
      <c r="R17" s="38">
        <v>41.67</v>
      </c>
      <c r="S17" s="38">
        <v>5.26</v>
      </c>
      <c r="T17" s="39">
        <v>0</v>
      </c>
    </row>
    <row r="18" spans="2:20" ht="30.75" customHeight="1">
      <c r="B18" s="40"/>
      <c r="C18" s="41" t="s">
        <v>19</v>
      </c>
      <c r="D18" s="42" t="s">
        <v>20</v>
      </c>
      <c r="E18" s="41" t="s">
        <v>25</v>
      </c>
      <c r="F18" s="43">
        <v>10</v>
      </c>
      <c r="G18" s="44" t="e">
        <f t="shared" ca="1" si="0"/>
        <v>#NAME?</v>
      </c>
      <c r="H18" s="43">
        <v>19</v>
      </c>
      <c r="I18" s="45" t="e">
        <f t="shared" ca="1" si="1"/>
        <v>#NAME?</v>
      </c>
      <c r="J18" s="43">
        <v>17</v>
      </c>
      <c r="K18" s="45" t="e">
        <f t="shared" ca="1" si="2"/>
        <v>#NAME?</v>
      </c>
      <c r="L18" s="43">
        <v>13</v>
      </c>
      <c r="M18" s="45" t="e">
        <f t="shared" ca="1" si="3"/>
        <v>#NAME?</v>
      </c>
      <c r="N18" s="37">
        <v>17.45</v>
      </c>
      <c r="O18" s="46">
        <v>65</v>
      </c>
      <c r="P18" s="46">
        <v>45.1</v>
      </c>
      <c r="Q18" s="46">
        <v>60.42</v>
      </c>
      <c r="R18" s="46">
        <v>29.63</v>
      </c>
      <c r="S18" s="46">
        <v>5.26</v>
      </c>
      <c r="T18" s="47">
        <v>13.33</v>
      </c>
    </row>
    <row r="19" spans="2:20" ht="30.75" customHeight="1">
      <c r="B19" s="33"/>
      <c r="C19" s="35" t="s">
        <v>26</v>
      </c>
      <c r="D19" s="34" t="s">
        <v>20</v>
      </c>
      <c r="E19" s="35"/>
      <c r="F19" s="36">
        <v>18</v>
      </c>
      <c r="G19" s="28" t="e">
        <f t="shared" ca="1" si="0"/>
        <v>#NAME?</v>
      </c>
      <c r="H19" s="36">
        <v>18</v>
      </c>
      <c r="I19" s="29" t="e">
        <f t="shared" ca="1" si="1"/>
        <v>#NAME?</v>
      </c>
      <c r="J19" s="36">
        <v>24</v>
      </c>
      <c r="K19" s="29" t="e">
        <f t="shared" ca="1" si="2"/>
        <v>#NAME?</v>
      </c>
      <c r="L19" s="36">
        <v>20</v>
      </c>
      <c r="M19" s="29" t="e">
        <f t="shared" ca="1" si="3"/>
        <v>#NAME?</v>
      </c>
      <c r="N19" s="37">
        <v>18.3</v>
      </c>
      <c r="O19" s="38">
        <v>45</v>
      </c>
      <c r="P19" s="38">
        <v>60.78</v>
      </c>
      <c r="Q19" s="38">
        <v>52.08</v>
      </c>
      <c r="R19" s="38">
        <v>29.63</v>
      </c>
      <c r="S19" s="38">
        <v>1.75</v>
      </c>
      <c r="T19" s="39">
        <v>28.89</v>
      </c>
    </row>
    <row r="20" spans="2:20" ht="30.75" customHeight="1">
      <c r="B20" s="33"/>
      <c r="C20" s="34" t="s">
        <v>19</v>
      </c>
      <c r="D20" s="34" t="s">
        <v>27</v>
      </c>
      <c r="E20" s="35"/>
      <c r="F20" s="36">
        <v>21</v>
      </c>
      <c r="G20" s="28" t="e">
        <f t="shared" ca="1" si="0"/>
        <v>#NAME?</v>
      </c>
      <c r="H20" s="36">
        <v>21</v>
      </c>
      <c r="I20" s="29" t="e">
        <f t="shared" ca="1" si="1"/>
        <v>#NAME?</v>
      </c>
      <c r="J20" s="36">
        <v>26</v>
      </c>
      <c r="K20" s="29" t="e">
        <f t="shared" ca="1" si="2"/>
        <v>#NAME?</v>
      </c>
      <c r="L20" s="36">
        <v>19</v>
      </c>
      <c r="M20" s="29" t="e">
        <f t="shared" ca="1" si="3"/>
        <v>#NAME?</v>
      </c>
      <c r="N20" s="37">
        <v>19.84</v>
      </c>
      <c r="O20" s="38">
        <v>56.14</v>
      </c>
      <c r="P20" s="38">
        <v>52.94</v>
      </c>
      <c r="Q20" s="38">
        <v>37.78</v>
      </c>
      <c r="R20" s="38">
        <v>25.93</v>
      </c>
      <c r="S20" s="38">
        <v>8.77</v>
      </c>
      <c r="T20" s="39">
        <v>22.22</v>
      </c>
    </row>
    <row r="21" spans="2:20" ht="30.75" customHeight="1">
      <c r="B21" s="33" t="s">
        <v>28</v>
      </c>
      <c r="C21" s="34" t="s">
        <v>19</v>
      </c>
      <c r="D21" s="34" t="s">
        <v>27</v>
      </c>
      <c r="E21" s="35"/>
      <c r="F21" s="36">
        <v>43</v>
      </c>
      <c r="G21" s="28" t="e">
        <f t="shared" ca="1" si="0"/>
        <v>#NAME?</v>
      </c>
      <c r="H21" s="36">
        <v>35</v>
      </c>
      <c r="I21" s="29" t="e">
        <f t="shared" ca="1" si="1"/>
        <v>#NAME?</v>
      </c>
      <c r="J21" s="36">
        <v>31</v>
      </c>
      <c r="K21" s="29" t="e">
        <f t="shared" ca="1" si="2"/>
        <v>#NAME?</v>
      </c>
      <c r="L21" s="36">
        <v>47</v>
      </c>
      <c r="M21" s="29" t="e">
        <f t="shared" ca="1" si="3"/>
        <v>#NAME?</v>
      </c>
      <c r="N21" s="37">
        <v>19.98</v>
      </c>
      <c r="O21" s="38">
        <v>24.56</v>
      </c>
      <c r="P21" s="38">
        <v>50.98</v>
      </c>
      <c r="Q21" s="38">
        <v>16.670000000000002</v>
      </c>
      <c r="R21" s="38">
        <v>66.67</v>
      </c>
      <c r="S21" s="38">
        <v>22.81</v>
      </c>
      <c r="T21" s="39">
        <v>26.67</v>
      </c>
    </row>
    <row r="22" spans="2:20" ht="30.75" customHeight="1">
      <c r="B22" s="33"/>
      <c r="C22" s="34" t="s">
        <v>29</v>
      </c>
      <c r="D22" s="34" t="s">
        <v>24</v>
      </c>
      <c r="E22" s="35"/>
      <c r="F22" s="36">
        <v>33</v>
      </c>
      <c r="G22" s="28" t="e">
        <f t="shared" ca="1" si="0"/>
        <v>#NAME?</v>
      </c>
      <c r="H22" s="36">
        <v>30</v>
      </c>
      <c r="I22" s="29" t="e">
        <f t="shared" ca="1" si="1"/>
        <v>#NAME?</v>
      </c>
      <c r="J22" s="36">
        <v>35</v>
      </c>
      <c r="K22" s="29" t="e">
        <f t="shared" ca="1" si="2"/>
        <v>#NAME?</v>
      </c>
      <c r="L22" s="36">
        <v>37</v>
      </c>
      <c r="M22" s="29" t="e">
        <f t="shared" ca="1" si="3"/>
        <v>#NAME?</v>
      </c>
      <c r="N22" s="37">
        <v>17.97</v>
      </c>
      <c r="O22" s="38">
        <v>45.61</v>
      </c>
      <c r="P22" s="38">
        <v>52.94</v>
      </c>
      <c r="Q22" s="38">
        <v>39.58</v>
      </c>
      <c r="R22" s="38">
        <v>40.74</v>
      </c>
      <c r="S22" s="38">
        <v>0</v>
      </c>
      <c r="T22" s="39">
        <v>23.33</v>
      </c>
    </row>
    <row r="23" spans="2:20" ht="30.75" customHeight="1">
      <c r="B23" s="33"/>
      <c r="C23" s="34" t="s">
        <v>30</v>
      </c>
      <c r="D23" s="34" t="s">
        <v>20</v>
      </c>
      <c r="E23" s="35"/>
      <c r="F23" s="36">
        <v>38</v>
      </c>
      <c r="G23" s="28" t="e">
        <f t="shared" ca="1" si="0"/>
        <v>#NAME?</v>
      </c>
      <c r="H23" s="36">
        <v>28</v>
      </c>
      <c r="I23" s="29" t="e">
        <f t="shared" ca="1" si="1"/>
        <v>#NAME?</v>
      </c>
      <c r="J23" s="36">
        <v>37</v>
      </c>
      <c r="K23" s="29" t="e">
        <f t="shared" ca="1" si="2"/>
        <v>#NAME?</v>
      </c>
      <c r="L23" s="36">
        <v>30</v>
      </c>
      <c r="M23" s="29" t="e">
        <f t="shared" ca="1" si="3"/>
        <v>#NAME?</v>
      </c>
      <c r="N23" s="37">
        <v>18.71</v>
      </c>
      <c r="O23" s="38">
        <v>52.63</v>
      </c>
      <c r="P23" s="38">
        <v>56.86</v>
      </c>
      <c r="Q23" s="38">
        <v>22.22</v>
      </c>
      <c r="R23" s="38">
        <v>51.85</v>
      </c>
      <c r="S23" s="38">
        <v>0</v>
      </c>
      <c r="T23" s="39">
        <v>0</v>
      </c>
    </row>
    <row r="24" spans="2:20" ht="30.75" customHeight="1">
      <c r="B24" s="33"/>
      <c r="C24" s="34" t="s">
        <v>21</v>
      </c>
      <c r="D24" s="34" t="s">
        <v>24</v>
      </c>
      <c r="E24" s="35"/>
      <c r="F24" s="36">
        <v>35</v>
      </c>
      <c r="G24" s="28" t="e">
        <f t="shared" ca="1" si="0"/>
        <v>#NAME?</v>
      </c>
      <c r="H24" s="36">
        <v>25</v>
      </c>
      <c r="I24" s="29" t="e">
        <f t="shared" ca="1" si="1"/>
        <v>#NAME?</v>
      </c>
      <c r="J24" s="36">
        <v>38</v>
      </c>
      <c r="K24" s="29" t="e">
        <f t="shared" ca="1" si="2"/>
        <v>#NAME?</v>
      </c>
      <c r="L24" s="36">
        <v>36</v>
      </c>
      <c r="M24" s="29" t="e">
        <f t="shared" ca="1" si="3"/>
        <v>#NAME?</v>
      </c>
      <c r="N24" s="37">
        <v>20</v>
      </c>
      <c r="O24" s="38">
        <v>35.090000000000003</v>
      </c>
      <c r="P24" s="38">
        <v>58.82</v>
      </c>
      <c r="Q24" s="38">
        <v>17.78</v>
      </c>
      <c r="R24" s="38">
        <v>44.44</v>
      </c>
      <c r="S24" s="38">
        <v>19.3</v>
      </c>
      <c r="T24" s="39">
        <v>33.33</v>
      </c>
    </row>
    <row r="25" spans="2:20" ht="30.75" customHeight="1">
      <c r="B25" s="33"/>
      <c r="C25" s="34" t="s">
        <v>26</v>
      </c>
      <c r="D25" s="34" t="s">
        <v>20</v>
      </c>
      <c r="E25" s="35"/>
      <c r="F25" s="36">
        <v>40</v>
      </c>
      <c r="G25" s="28" t="e">
        <f t="shared" ca="1" si="0"/>
        <v>#NAME?</v>
      </c>
      <c r="H25" s="36">
        <v>36</v>
      </c>
      <c r="I25" s="29" t="e">
        <f t="shared" ca="1" si="1"/>
        <v>#NAME?</v>
      </c>
      <c r="J25" s="36">
        <v>39</v>
      </c>
      <c r="K25" s="29" t="e">
        <f t="shared" ca="1" si="2"/>
        <v>#NAME?</v>
      </c>
      <c r="L25" s="36">
        <v>31</v>
      </c>
      <c r="M25" s="29" t="e">
        <f t="shared" ca="1" si="3"/>
        <v>#NAME?</v>
      </c>
      <c r="N25" s="37">
        <v>17.510000000000002</v>
      </c>
      <c r="O25" s="38">
        <v>55</v>
      </c>
      <c r="P25" s="38">
        <v>50.98</v>
      </c>
      <c r="Q25" s="38">
        <v>26.67</v>
      </c>
      <c r="R25" s="38">
        <v>44.44</v>
      </c>
      <c r="S25" s="38">
        <v>-1.74</v>
      </c>
      <c r="T25" s="39">
        <v>30</v>
      </c>
    </row>
    <row r="26" spans="2:20" ht="30.75" customHeight="1">
      <c r="B26" s="33"/>
      <c r="C26" s="34"/>
      <c r="D26" s="34"/>
      <c r="E26" s="35"/>
      <c r="F26" s="36">
        <v>77</v>
      </c>
      <c r="G26" s="28" t="e">
        <f t="shared" ca="1" si="0"/>
        <v>#NAME?</v>
      </c>
      <c r="H26" s="36">
        <v>89</v>
      </c>
      <c r="I26" s="29" t="e">
        <f t="shared" ca="1" si="1"/>
        <v>#NAME?</v>
      </c>
      <c r="J26" s="36">
        <v>40</v>
      </c>
      <c r="K26" s="29" t="e">
        <f t="shared" ca="1" si="2"/>
        <v>#NAME?</v>
      </c>
      <c r="L26" s="36">
        <v>90</v>
      </c>
      <c r="M26" s="29" t="e">
        <f t="shared" ca="1" si="3"/>
        <v>#NAME?</v>
      </c>
      <c r="N26" s="37">
        <v>17.22</v>
      </c>
      <c r="O26" s="38">
        <v>14.04</v>
      </c>
      <c r="P26" s="38">
        <v>21.57</v>
      </c>
      <c r="Q26" s="38">
        <v>10.42</v>
      </c>
      <c r="R26" s="38">
        <v>76.67</v>
      </c>
      <c r="S26" s="38">
        <v>42.11</v>
      </c>
      <c r="T26" s="39">
        <v>86.67</v>
      </c>
    </row>
    <row r="27" spans="2:20" ht="30.75" customHeight="1">
      <c r="B27" s="33"/>
      <c r="C27" s="34"/>
      <c r="D27" s="34"/>
      <c r="E27" s="35"/>
      <c r="F27" s="36">
        <v>55</v>
      </c>
      <c r="G27" s="28" t="e">
        <f t="shared" ca="1" si="0"/>
        <v>#NAME?</v>
      </c>
      <c r="H27" s="36">
        <v>71</v>
      </c>
      <c r="I27" s="29" t="e">
        <f t="shared" ca="1" si="1"/>
        <v>#NAME?</v>
      </c>
      <c r="J27" s="36">
        <v>41</v>
      </c>
      <c r="K27" s="29" t="e">
        <f t="shared" ca="1" si="2"/>
        <v>#NAME?</v>
      </c>
      <c r="L27" s="36">
        <v>57</v>
      </c>
      <c r="M27" s="29" t="e">
        <f t="shared" ca="1" si="3"/>
        <v>#NAME?</v>
      </c>
      <c r="N27" s="37">
        <v>18.16</v>
      </c>
      <c r="O27" s="38">
        <v>45.61</v>
      </c>
      <c r="P27" s="38">
        <v>29.41</v>
      </c>
      <c r="Q27" s="38">
        <v>35.56</v>
      </c>
      <c r="R27" s="38">
        <v>44.44</v>
      </c>
      <c r="S27" s="38">
        <v>0</v>
      </c>
      <c r="T27" s="39">
        <v>57.78</v>
      </c>
    </row>
    <row r="28" spans="2:20" ht="30.75" customHeight="1">
      <c r="B28" s="33"/>
      <c r="C28" s="34" t="s">
        <v>31</v>
      </c>
      <c r="D28" s="34" t="s">
        <v>20</v>
      </c>
      <c r="E28" s="35"/>
      <c r="F28" s="36">
        <v>51</v>
      </c>
      <c r="G28" s="28" t="e">
        <f t="shared" ca="1" si="0"/>
        <v>#NAME?</v>
      </c>
      <c r="H28" s="36">
        <v>64</v>
      </c>
      <c r="I28" s="29" t="e">
        <f t="shared" ca="1" si="1"/>
        <v>#NAME?</v>
      </c>
      <c r="J28" s="36">
        <v>42</v>
      </c>
      <c r="K28" s="29" t="e">
        <f t="shared" ca="1" si="2"/>
        <v>#NAME?</v>
      </c>
      <c r="L28" s="36">
        <v>45</v>
      </c>
      <c r="M28" s="29" t="e">
        <f t="shared" ca="1" si="3"/>
        <v>#NAME?</v>
      </c>
      <c r="N28" s="37">
        <v>20</v>
      </c>
      <c r="O28" s="38">
        <v>61.67</v>
      </c>
      <c r="P28" s="38">
        <v>31.37</v>
      </c>
      <c r="Q28" s="38">
        <v>35.42</v>
      </c>
      <c r="R28" s="38">
        <v>33.33</v>
      </c>
      <c r="S28" s="38">
        <v>0</v>
      </c>
      <c r="T28" s="39">
        <v>0</v>
      </c>
    </row>
    <row r="29" spans="2:20" ht="30.75" customHeight="1">
      <c r="B29" s="33"/>
      <c r="C29" s="34" t="s">
        <v>19</v>
      </c>
      <c r="D29" s="34" t="s">
        <v>27</v>
      </c>
      <c r="E29" s="35"/>
      <c r="F29" s="36">
        <v>54</v>
      </c>
      <c r="G29" s="28" t="e">
        <f t="shared" ca="1" si="0"/>
        <v>#NAME?</v>
      </c>
      <c r="H29" s="36">
        <v>44</v>
      </c>
      <c r="I29" s="29" t="e">
        <f t="shared" ca="1" si="1"/>
        <v>#NAME?</v>
      </c>
      <c r="J29" s="36">
        <v>45</v>
      </c>
      <c r="K29" s="29" t="e">
        <f t="shared" ca="1" si="2"/>
        <v>#NAME?</v>
      </c>
      <c r="L29" s="36">
        <v>43</v>
      </c>
      <c r="M29" s="29" t="e">
        <f t="shared" ca="1" si="3"/>
        <v>#NAME?</v>
      </c>
      <c r="N29" s="37">
        <v>18.649999999999999</v>
      </c>
      <c r="O29" s="38">
        <v>53.33</v>
      </c>
      <c r="P29" s="38">
        <v>50.98</v>
      </c>
      <c r="Q29" s="38">
        <v>15.56</v>
      </c>
      <c r="R29" s="38">
        <v>55.56</v>
      </c>
      <c r="S29" s="38">
        <v>0</v>
      </c>
      <c r="T29" s="39">
        <v>0</v>
      </c>
    </row>
    <row r="30" spans="2:20" ht="30.75" customHeight="1">
      <c r="B30" s="33" t="s">
        <v>28</v>
      </c>
      <c r="C30" s="34" t="s">
        <v>19</v>
      </c>
      <c r="D30" s="34" t="s">
        <v>27</v>
      </c>
      <c r="E30" s="35"/>
      <c r="F30" s="36">
        <v>46</v>
      </c>
      <c r="G30" s="28" t="e">
        <f t="shared" ca="1" si="0"/>
        <v>#NAME?</v>
      </c>
      <c r="H30" s="36">
        <v>32</v>
      </c>
      <c r="I30" s="29" t="e">
        <f t="shared" ca="1" si="1"/>
        <v>#NAME?</v>
      </c>
      <c r="J30" s="36">
        <v>48</v>
      </c>
      <c r="K30" s="29" t="e">
        <f t="shared" ca="1" si="2"/>
        <v>#NAME?</v>
      </c>
      <c r="L30" s="36">
        <v>39</v>
      </c>
      <c r="M30" s="29" t="e">
        <f t="shared" ca="1" si="3"/>
        <v>#NAME?</v>
      </c>
      <c r="N30" s="37">
        <v>17.329999999999998</v>
      </c>
      <c r="O30" s="38">
        <v>43.33</v>
      </c>
      <c r="P30" s="38">
        <v>58.82</v>
      </c>
      <c r="Q30" s="38">
        <v>17.78</v>
      </c>
      <c r="R30" s="38">
        <v>40.74</v>
      </c>
      <c r="S30" s="38">
        <v>0</v>
      </c>
      <c r="T30" s="39">
        <v>77.78</v>
      </c>
    </row>
    <row r="31" spans="2:20" ht="30.75" customHeight="1">
      <c r="B31" s="33"/>
      <c r="C31" s="34" t="s">
        <v>32</v>
      </c>
      <c r="D31" s="34" t="s">
        <v>24</v>
      </c>
      <c r="E31" s="35"/>
      <c r="F31" s="36">
        <v>45</v>
      </c>
      <c r="G31" s="28" t="e">
        <f t="shared" ca="1" si="0"/>
        <v>#NAME?</v>
      </c>
      <c r="H31" s="36">
        <v>37</v>
      </c>
      <c r="I31" s="29" t="e">
        <f t="shared" ca="1" si="1"/>
        <v>#NAME?</v>
      </c>
      <c r="J31" s="36">
        <v>49</v>
      </c>
      <c r="K31" s="29" t="e">
        <f t="shared" ca="1" si="2"/>
        <v>#NAME?</v>
      </c>
      <c r="L31" s="36">
        <v>41</v>
      </c>
      <c r="M31" s="29" t="e">
        <f t="shared" ca="1" si="3"/>
        <v>#NAME?</v>
      </c>
      <c r="N31" s="37">
        <v>18.399999999999999</v>
      </c>
      <c r="O31" s="38">
        <v>42.11</v>
      </c>
      <c r="P31" s="38">
        <v>52.94</v>
      </c>
      <c r="Q31" s="38">
        <v>20</v>
      </c>
      <c r="R31" s="38">
        <v>33.33</v>
      </c>
      <c r="S31" s="38">
        <v>15.79</v>
      </c>
      <c r="T31" s="39">
        <v>54.44</v>
      </c>
    </row>
    <row r="32" spans="2:20" ht="30.75" customHeight="1">
      <c r="B32" s="33"/>
      <c r="C32" s="34" t="s">
        <v>19</v>
      </c>
      <c r="D32" s="34" t="s">
        <v>27</v>
      </c>
      <c r="E32" s="35"/>
      <c r="F32" s="36">
        <v>48</v>
      </c>
      <c r="G32" s="28" t="e">
        <f t="shared" ca="1" si="0"/>
        <v>#NAME?</v>
      </c>
      <c r="H32" s="36">
        <v>42</v>
      </c>
      <c r="I32" s="29" t="e">
        <f t="shared" ca="1" si="1"/>
        <v>#NAME?</v>
      </c>
      <c r="J32" s="36">
        <v>53</v>
      </c>
      <c r="K32" s="29" t="e">
        <f t="shared" ca="1" si="2"/>
        <v>#NAME?</v>
      </c>
      <c r="L32" s="36">
        <v>46</v>
      </c>
      <c r="M32" s="29" t="e">
        <f t="shared" ca="1" si="3"/>
        <v>#NAME?</v>
      </c>
      <c r="N32" s="37">
        <v>17.21</v>
      </c>
      <c r="O32" s="38">
        <v>46.67</v>
      </c>
      <c r="P32" s="38">
        <v>52.94</v>
      </c>
      <c r="Q32" s="38">
        <v>31.25</v>
      </c>
      <c r="R32" s="38">
        <v>33.33</v>
      </c>
      <c r="S32" s="38">
        <v>0</v>
      </c>
      <c r="T32" s="39">
        <v>43.33</v>
      </c>
    </row>
    <row r="33" spans="2:20" ht="30.75" customHeight="1">
      <c r="B33" s="33"/>
      <c r="C33" s="34" t="s">
        <v>33</v>
      </c>
      <c r="D33" s="34" t="s">
        <v>20</v>
      </c>
      <c r="E33" s="35"/>
      <c r="F33" s="36">
        <v>56</v>
      </c>
      <c r="G33" s="28" t="e">
        <f t="shared" ca="1" si="0"/>
        <v>#NAME?</v>
      </c>
      <c r="H33" s="36">
        <v>61</v>
      </c>
      <c r="I33" s="29" t="e">
        <f t="shared" ca="1" si="1"/>
        <v>#NAME?</v>
      </c>
      <c r="J33" s="36">
        <v>56</v>
      </c>
      <c r="K33" s="29" t="e">
        <f t="shared" ca="1" si="2"/>
        <v>#NAME?</v>
      </c>
      <c r="L33" s="36">
        <v>53</v>
      </c>
      <c r="M33" s="29" t="e">
        <f t="shared" ca="1" si="3"/>
        <v>#NAME?</v>
      </c>
      <c r="N33" s="37">
        <v>19.760000000000002</v>
      </c>
      <c r="O33" s="38">
        <v>48.33</v>
      </c>
      <c r="P33" s="38">
        <v>37.25</v>
      </c>
      <c r="Q33" s="38">
        <v>29.17</v>
      </c>
      <c r="R33" s="38">
        <v>33.33</v>
      </c>
      <c r="S33" s="38">
        <v>0</v>
      </c>
      <c r="T33" s="39">
        <v>47.78</v>
      </c>
    </row>
    <row r="34" spans="2:20" ht="30.75" customHeight="1">
      <c r="B34" s="33"/>
      <c r="C34" s="34" t="s">
        <v>29</v>
      </c>
      <c r="D34" s="34" t="s">
        <v>20</v>
      </c>
      <c r="E34" s="35"/>
      <c r="F34" s="36">
        <v>42</v>
      </c>
      <c r="G34" s="28" t="e">
        <f t="shared" ca="1" si="0"/>
        <v>#NAME?</v>
      </c>
      <c r="H34" s="36">
        <v>40</v>
      </c>
      <c r="I34" s="29" t="e">
        <f t="shared" ca="1" si="1"/>
        <v>#NAME?</v>
      </c>
      <c r="J34" s="36">
        <v>60</v>
      </c>
      <c r="K34" s="29" t="e">
        <f t="shared" ca="1" si="2"/>
        <v>#NAME?</v>
      </c>
      <c r="L34" s="36">
        <v>44</v>
      </c>
      <c r="M34" s="29" t="e">
        <f t="shared" ca="1" si="3"/>
        <v>#NAME?</v>
      </c>
      <c r="N34" s="37">
        <v>18.82</v>
      </c>
      <c r="O34" s="38">
        <v>41.67</v>
      </c>
      <c r="P34" s="38">
        <v>50.98</v>
      </c>
      <c r="Q34" s="38">
        <v>31.11</v>
      </c>
      <c r="R34" s="38">
        <v>14.81</v>
      </c>
      <c r="S34" s="38">
        <v>26.32</v>
      </c>
      <c r="T34" s="39">
        <v>32.22</v>
      </c>
    </row>
    <row r="35" spans="2:20" ht="30.75" customHeight="1">
      <c r="B35" s="33" t="s">
        <v>34</v>
      </c>
      <c r="C35" s="34" t="s">
        <v>32</v>
      </c>
      <c r="D35" s="34" t="s">
        <v>24</v>
      </c>
      <c r="E35" s="35"/>
      <c r="F35" s="36">
        <v>53</v>
      </c>
      <c r="G35" s="28" t="e">
        <f t="shared" ca="1" si="0"/>
        <v>#NAME?</v>
      </c>
      <c r="H35" s="36">
        <v>66</v>
      </c>
      <c r="I35" s="29" t="e">
        <f t="shared" ca="1" si="1"/>
        <v>#NAME?</v>
      </c>
      <c r="J35" s="36">
        <v>61</v>
      </c>
      <c r="K35" s="29" t="e">
        <f t="shared" ca="1" si="2"/>
        <v>#NAME?</v>
      </c>
      <c r="L35" s="36">
        <v>83</v>
      </c>
      <c r="M35" s="29" t="e">
        <f t="shared" ca="1" si="3"/>
        <v>#NAME?</v>
      </c>
      <c r="N35" s="37">
        <v>15.46</v>
      </c>
      <c r="O35" s="38">
        <v>21.05</v>
      </c>
      <c r="P35" s="38">
        <v>52.94</v>
      </c>
      <c r="Q35" s="38">
        <v>62.5</v>
      </c>
      <c r="R35" s="38">
        <v>40.74</v>
      </c>
      <c r="S35" s="38">
        <v>0</v>
      </c>
      <c r="T35" s="39">
        <v>0</v>
      </c>
    </row>
    <row r="36" spans="2:20" ht="30.75" customHeight="1">
      <c r="B36" s="33" t="s">
        <v>28</v>
      </c>
      <c r="C36" s="34" t="s">
        <v>29</v>
      </c>
      <c r="D36" s="34" t="s">
        <v>27</v>
      </c>
      <c r="E36" s="35"/>
      <c r="F36" s="36">
        <v>67</v>
      </c>
      <c r="G36" s="28" t="e">
        <f t="shared" ca="1" si="0"/>
        <v>#NAME?</v>
      </c>
      <c r="H36" s="36">
        <v>84</v>
      </c>
      <c r="I36" s="29" t="e">
        <f t="shared" ca="1" si="1"/>
        <v>#NAME?</v>
      </c>
      <c r="J36" s="36">
        <v>62</v>
      </c>
      <c r="K36" s="29" t="e">
        <f t="shared" ca="1" si="2"/>
        <v>#NAME?</v>
      </c>
      <c r="L36" s="36">
        <v>62</v>
      </c>
      <c r="M36" s="29" t="e">
        <f t="shared" ca="1" si="3"/>
        <v>#NAME?</v>
      </c>
      <c r="N36" s="37">
        <v>18.5</v>
      </c>
      <c r="O36" s="38">
        <v>53.33</v>
      </c>
      <c r="P36" s="38">
        <v>31.37</v>
      </c>
      <c r="Q36" s="38">
        <v>35.56</v>
      </c>
      <c r="R36" s="38">
        <v>40.74</v>
      </c>
      <c r="S36" s="38">
        <v>0</v>
      </c>
      <c r="T36" s="39">
        <v>0</v>
      </c>
    </row>
    <row r="37" spans="2:20" ht="30.75" customHeight="1">
      <c r="B37" s="33"/>
      <c r="C37" s="34" t="s">
        <v>26</v>
      </c>
      <c r="D37" s="34" t="s">
        <v>20</v>
      </c>
      <c r="E37" s="35"/>
      <c r="F37" s="36">
        <v>57</v>
      </c>
      <c r="G37" s="28" t="e">
        <f t="shared" ca="1" si="0"/>
        <v>#NAME?</v>
      </c>
      <c r="H37" s="36">
        <v>57</v>
      </c>
      <c r="I37" s="29" t="e">
        <f t="shared" ca="1" si="1"/>
        <v>#NAME?</v>
      </c>
      <c r="J37" s="36">
        <v>63</v>
      </c>
      <c r="K37" s="29" t="e">
        <f t="shared" ca="1" si="2"/>
        <v>#NAME?</v>
      </c>
      <c r="L37" s="36">
        <v>66</v>
      </c>
      <c r="M37" s="29" t="e">
        <f t="shared" ca="1" si="3"/>
        <v>#NAME?</v>
      </c>
      <c r="N37" s="37">
        <v>17.5</v>
      </c>
      <c r="O37" s="38">
        <v>29.82</v>
      </c>
      <c r="P37" s="38">
        <v>50.98</v>
      </c>
      <c r="Q37" s="38">
        <v>33.33</v>
      </c>
      <c r="R37" s="38">
        <v>44.44</v>
      </c>
      <c r="S37" s="38">
        <v>0</v>
      </c>
      <c r="T37" s="39">
        <v>51.11</v>
      </c>
    </row>
    <row r="38" spans="2:20" ht="30.75" customHeight="1">
      <c r="B38" s="33"/>
      <c r="C38" s="34" t="s">
        <v>29</v>
      </c>
      <c r="D38" s="34" t="s">
        <v>20</v>
      </c>
      <c r="E38" s="35"/>
      <c r="F38" s="36">
        <v>50</v>
      </c>
      <c r="G38" s="28" t="e">
        <f t="shared" ca="1" si="0"/>
        <v>#NAME?</v>
      </c>
      <c r="H38" s="36">
        <v>43</v>
      </c>
      <c r="I38" s="29" t="e">
        <f t="shared" ca="1" si="1"/>
        <v>#NAME?</v>
      </c>
      <c r="J38" s="36">
        <v>64</v>
      </c>
      <c r="K38" s="29" t="e">
        <f t="shared" ca="1" si="2"/>
        <v>#NAME?</v>
      </c>
      <c r="L38" s="36">
        <v>49</v>
      </c>
      <c r="M38" s="29" t="e">
        <f t="shared" ca="1" si="3"/>
        <v>#NAME?</v>
      </c>
      <c r="N38" s="37">
        <v>18.7</v>
      </c>
      <c r="O38" s="38">
        <v>43.86</v>
      </c>
      <c r="P38" s="38">
        <v>56.86</v>
      </c>
      <c r="Q38" s="38">
        <v>26.67</v>
      </c>
      <c r="R38" s="38">
        <v>33.33</v>
      </c>
      <c r="S38" s="38">
        <v>8.77</v>
      </c>
      <c r="T38" s="39">
        <v>0</v>
      </c>
    </row>
    <row r="39" spans="2:20" ht="30.75" customHeight="1">
      <c r="B39" s="40"/>
      <c r="C39" s="42"/>
      <c r="D39" s="42"/>
      <c r="E39" s="41" t="s">
        <v>35</v>
      </c>
      <c r="F39" s="43">
        <v>37</v>
      </c>
      <c r="G39" s="44" t="e">
        <f t="shared" ca="1" si="0"/>
        <v>#NAME?</v>
      </c>
      <c r="H39" s="43">
        <v>29</v>
      </c>
      <c r="I39" s="45" t="e">
        <f t="shared" ca="1" si="1"/>
        <v>#NAME?</v>
      </c>
      <c r="J39" s="43">
        <v>68</v>
      </c>
      <c r="K39" s="45" t="e">
        <f t="shared" ca="1" si="2"/>
        <v>#NAME?</v>
      </c>
      <c r="L39" s="43">
        <v>41</v>
      </c>
      <c r="M39" s="45" t="e">
        <f t="shared" ca="1" si="3"/>
        <v>#NAME?</v>
      </c>
      <c r="N39" s="37">
        <v>18.670000000000002</v>
      </c>
      <c r="O39" s="46">
        <v>47.37</v>
      </c>
      <c r="P39" s="46">
        <v>70.59</v>
      </c>
      <c r="Q39" s="46">
        <v>41.67</v>
      </c>
      <c r="R39" s="46">
        <v>11.11</v>
      </c>
      <c r="S39" s="46">
        <v>0</v>
      </c>
      <c r="T39" s="47">
        <v>0</v>
      </c>
    </row>
    <row r="40" spans="2:20" ht="30.75" customHeight="1">
      <c r="B40" s="33" t="s">
        <v>34</v>
      </c>
      <c r="C40" s="34" t="s">
        <v>32</v>
      </c>
      <c r="D40" s="34" t="s">
        <v>24</v>
      </c>
      <c r="E40" s="35"/>
      <c r="F40" s="36">
        <v>67</v>
      </c>
      <c r="G40" s="28" t="e">
        <f t="shared" ca="1" si="0"/>
        <v>#NAME?</v>
      </c>
      <c r="H40" s="36">
        <v>74</v>
      </c>
      <c r="I40" s="29" t="e">
        <f t="shared" ca="1" si="1"/>
        <v>#NAME?</v>
      </c>
      <c r="J40" s="36">
        <v>68</v>
      </c>
      <c r="K40" s="29" t="e">
        <f t="shared" ca="1" si="2"/>
        <v>#NAME?</v>
      </c>
      <c r="L40" s="36">
        <v>73</v>
      </c>
      <c r="M40" s="29" t="e">
        <f t="shared" ca="1" si="3"/>
        <v>#NAME?</v>
      </c>
      <c r="N40" s="37">
        <v>16.68</v>
      </c>
      <c r="O40" s="38">
        <v>38.6</v>
      </c>
      <c r="P40" s="38">
        <v>45.1</v>
      </c>
      <c r="Q40" s="38">
        <v>35.56</v>
      </c>
      <c r="R40" s="38">
        <v>40.74</v>
      </c>
      <c r="S40" s="38">
        <v>3.51</v>
      </c>
      <c r="T40" s="39">
        <v>18.89</v>
      </c>
    </row>
    <row r="41" spans="2:20" ht="30.75" customHeight="1">
      <c r="B41" s="33"/>
      <c r="C41" s="34"/>
      <c r="D41" s="34"/>
      <c r="E41" s="35"/>
      <c r="F41" s="36">
        <v>74</v>
      </c>
      <c r="G41" s="28" t="e">
        <f t="shared" ca="1" si="0"/>
        <v>#NAME?</v>
      </c>
      <c r="H41" s="36">
        <v>105</v>
      </c>
      <c r="I41" s="29" t="e">
        <f t="shared" ca="1" si="1"/>
        <v>#NAME?</v>
      </c>
      <c r="J41" s="36">
        <v>69</v>
      </c>
      <c r="K41" s="29" t="e">
        <f t="shared" ca="1" si="2"/>
        <v>#NAME?</v>
      </c>
      <c r="L41" s="36">
        <v>79</v>
      </c>
      <c r="M41" s="29" t="e">
        <f t="shared" ca="1" si="3"/>
        <v>#NAME?</v>
      </c>
      <c r="N41" s="37">
        <v>17.72</v>
      </c>
      <c r="O41" s="38">
        <v>43.86</v>
      </c>
      <c r="P41" s="38">
        <v>19.61</v>
      </c>
      <c r="Q41" s="38">
        <v>44.44</v>
      </c>
      <c r="R41" s="38">
        <v>22.22</v>
      </c>
      <c r="S41" s="38">
        <v>0</v>
      </c>
      <c r="T41" s="39">
        <v>91.11</v>
      </c>
    </row>
    <row r="42" spans="2:20" ht="30.75" customHeight="1">
      <c r="B42" s="33"/>
      <c r="C42" s="34"/>
      <c r="D42" s="34"/>
      <c r="E42" s="35"/>
      <c r="F42" s="36">
        <v>70</v>
      </c>
      <c r="G42" s="28" t="e">
        <f t="shared" ca="1" si="0"/>
        <v>#NAME?</v>
      </c>
      <c r="H42" s="36">
        <v>75</v>
      </c>
      <c r="I42" s="29" t="e">
        <f t="shared" ca="1" si="1"/>
        <v>#NAME?</v>
      </c>
      <c r="J42" s="36">
        <v>72</v>
      </c>
      <c r="K42" s="29" t="e">
        <f t="shared" ca="1" si="2"/>
        <v>#NAME?</v>
      </c>
      <c r="L42" s="36">
        <v>73</v>
      </c>
      <c r="M42" s="29" t="e">
        <f t="shared" ca="1" si="3"/>
        <v>#NAME?</v>
      </c>
      <c r="N42" s="37">
        <v>17.600000000000001</v>
      </c>
      <c r="O42" s="38">
        <v>42.11</v>
      </c>
      <c r="P42" s="38">
        <v>47.06</v>
      </c>
      <c r="Q42" s="38">
        <v>33.33</v>
      </c>
      <c r="R42" s="38">
        <v>33.33</v>
      </c>
      <c r="S42" s="38">
        <v>0</v>
      </c>
      <c r="T42" s="39">
        <v>15.56</v>
      </c>
    </row>
    <row r="43" spans="2:20" ht="30.75" customHeight="1">
      <c r="B43" s="33"/>
      <c r="C43" s="34" t="s">
        <v>32</v>
      </c>
      <c r="D43" s="34" t="s">
        <v>24</v>
      </c>
      <c r="E43" s="35"/>
      <c r="F43" s="36">
        <v>71</v>
      </c>
      <c r="G43" s="28" t="e">
        <f t="shared" ca="1" si="0"/>
        <v>#NAME?</v>
      </c>
      <c r="H43" s="36">
        <v>50</v>
      </c>
      <c r="I43" s="29" t="e">
        <f t="shared" ca="1" si="1"/>
        <v>#NAME?</v>
      </c>
      <c r="J43" s="36">
        <v>73</v>
      </c>
      <c r="K43" s="29" t="e">
        <f t="shared" ca="1" si="2"/>
        <v>#NAME?</v>
      </c>
      <c r="L43" s="36">
        <v>55</v>
      </c>
      <c r="M43" s="29" t="e">
        <f t="shared" ca="1" si="3"/>
        <v>#NAME?</v>
      </c>
      <c r="N43" s="37">
        <v>18.55</v>
      </c>
      <c r="O43" s="38">
        <v>45</v>
      </c>
      <c r="P43" s="38">
        <v>56.86</v>
      </c>
      <c r="Q43" s="38">
        <v>2.2200000000000002</v>
      </c>
      <c r="R43" s="38">
        <v>44.44</v>
      </c>
      <c r="S43" s="38">
        <v>1.75</v>
      </c>
      <c r="T43" s="39">
        <v>50</v>
      </c>
    </row>
    <row r="44" spans="2:20" ht="30.75" customHeight="1">
      <c r="B44" s="33" t="s">
        <v>36</v>
      </c>
      <c r="C44" s="34" t="s">
        <v>19</v>
      </c>
      <c r="D44" s="34" t="s">
        <v>27</v>
      </c>
      <c r="E44" s="35"/>
      <c r="F44" s="36">
        <v>106</v>
      </c>
      <c r="G44" s="28" t="e">
        <f t="shared" ca="1" si="0"/>
        <v>#NAME?</v>
      </c>
      <c r="H44" s="36">
        <v>112</v>
      </c>
      <c r="I44" s="29" t="e">
        <f t="shared" ca="1" si="1"/>
        <v>#NAME?</v>
      </c>
      <c r="J44" s="36">
        <v>76</v>
      </c>
      <c r="K44" s="29" t="e">
        <f t="shared" ca="1" si="2"/>
        <v>#NAME?</v>
      </c>
      <c r="L44" s="36">
        <v>105</v>
      </c>
      <c r="M44" s="29" t="e">
        <f t="shared" ca="1" si="3"/>
        <v>#NAME?</v>
      </c>
      <c r="N44" s="37">
        <v>16.16</v>
      </c>
      <c r="O44" s="38">
        <v>41.67</v>
      </c>
      <c r="P44" s="38">
        <v>33.33</v>
      </c>
      <c r="Q44" s="38">
        <v>28.89</v>
      </c>
      <c r="R44" s="38">
        <v>55.56</v>
      </c>
      <c r="S44" s="38">
        <v>-1.74</v>
      </c>
      <c r="T44" s="39">
        <v>0</v>
      </c>
    </row>
    <row r="45" spans="2:20" ht="30.75" customHeight="1">
      <c r="B45" s="40"/>
      <c r="C45" s="42" t="s">
        <v>29</v>
      </c>
      <c r="D45" s="42" t="s">
        <v>20</v>
      </c>
      <c r="E45" s="41" t="s">
        <v>37</v>
      </c>
      <c r="F45" s="43">
        <v>45</v>
      </c>
      <c r="G45" s="44" t="e">
        <f t="shared" ca="1" si="0"/>
        <v>#NAME?</v>
      </c>
      <c r="H45" s="43">
        <v>27</v>
      </c>
      <c r="I45" s="45" t="e">
        <f t="shared" ca="1" si="1"/>
        <v>#NAME?</v>
      </c>
      <c r="J45" s="43">
        <v>78</v>
      </c>
      <c r="K45" s="45" t="e">
        <f t="shared" ca="1" si="2"/>
        <v>#NAME?</v>
      </c>
      <c r="L45" s="43">
        <v>26</v>
      </c>
      <c r="M45" s="45" t="e">
        <f t="shared" ca="1" si="3"/>
        <v>#NAME?</v>
      </c>
      <c r="N45" s="37">
        <v>19.399999999999999</v>
      </c>
      <c r="O45" s="46">
        <v>60</v>
      </c>
      <c r="P45" s="46">
        <v>68.63</v>
      </c>
      <c r="Q45" s="46">
        <v>15.56</v>
      </c>
      <c r="R45" s="46">
        <v>0</v>
      </c>
      <c r="S45" s="46">
        <v>0</v>
      </c>
      <c r="T45" s="47">
        <v>67.78</v>
      </c>
    </row>
    <row r="46" spans="2:20" ht="30.75" customHeight="1">
      <c r="B46" s="33"/>
      <c r="C46" s="34" t="s">
        <v>26</v>
      </c>
      <c r="D46" s="34" t="s">
        <v>20</v>
      </c>
      <c r="E46" s="35"/>
      <c r="F46" s="36">
        <v>81</v>
      </c>
      <c r="G46" s="28" t="e">
        <f t="shared" ca="1" si="0"/>
        <v>#NAME?</v>
      </c>
      <c r="H46" s="36">
        <v>81</v>
      </c>
      <c r="I46" s="29" t="e">
        <f t="shared" ca="1" si="1"/>
        <v>#NAME?</v>
      </c>
      <c r="J46" s="36">
        <v>81</v>
      </c>
      <c r="K46" s="29" t="e">
        <f t="shared" ca="1" si="2"/>
        <v>#NAME?</v>
      </c>
      <c r="L46" s="36">
        <v>84</v>
      </c>
      <c r="M46" s="29" t="e">
        <f t="shared" ca="1" si="3"/>
        <v>#NAME?</v>
      </c>
      <c r="N46" s="37" t="s">
        <v>22</v>
      </c>
      <c r="O46" s="38">
        <v>38.33</v>
      </c>
      <c r="P46" s="38">
        <v>52.94</v>
      </c>
      <c r="Q46" s="38">
        <v>31.25</v>
      </c>
      <c r="R46" s="38">
        <v>40.74</v>
      </c>
      <c r="S46" s="38">
        <v>0</v>
      </c>
      <c r="T46" s="39">
        <v>0</v>
      </c>
    </row>
    <row r="47" spans="2:20" ht="30.75" customHeight="1">
      <c r="B47" s="33"/>
      <c r="C47" s="34"/>
      <c r="D47" s="34"/>
      <c r="E47" s="35"/>
      <c r="F47" s="36">
        <v>61</v>
      </c>
      <c r="G47" s="28" t="e">
        <f t="shared" ca="1" si="0"/>
        <v>#NAME?</v>
      </c>
      <c r="H47" s="36">
        <v>53</v>
      </c>
      <c r="I47" s="29" t="e">
        <f t="shared" ca="1" si="1"/>
        <v>#NAME?</v>
      </c>
      <c r="J47" s="36">
        <v>83</v>
      </c>
      <c r="K47" s="29" t="e">
        <f t="shared" ca="1" si="2"/>
        <v>#NAME?</v>
      </c>
      <c r="L47" s="36">
        <v>48</v>
      </c>
      <c r="M47" s="29" t="e">
        <f t="shared" ca="1" si="3"/>
        <v>#NAME?</v>
      </c>
      <c r="N47" s="37">
        <v>18.72</v>
      </c>
      <c r="O47" s="38">
        <v>61.4</v>
      </c>
      <c r="P47" s="38">
        <v>54.9</v>
      </c>
      <c r="Q47" s="38">
        <v>26.67</v>
      </c>
      <c r="R47" s="38">
        <v>3.7</v>
      </c>
      <c r="S47" s="38">
        <v>0</v>
      </c>
      <c r="T47" s="39">
        <v>17.78</v>
      </c>
    </row>
    <row r="48" spans="2:20" ht="30.75" customHeight="1">
      <c r="B48" s="33" t="s">
        <v>28</v>
      </c>
      <c r="C48" s="34" t="s">
        <v>29</v>
      </c>
      <c r="D48" s="34" t="s">
        <v>27</v>
      </c>
      <c r="E48" s="35"/>
      <c r="F48" s="36">
        <v>89</v>
      </c>
      <c r="G48" s="28" t="e">
        <f t="shared" ca="1" si="0"/>
        <v>#NAME?</v>
      </c>
      <c r="H48" s="36">
        <v>83</v>
      </c>
      <c r="I48" s="29" t="e">
        <f t="shared" ca="1" si="1"/>
        <v>#NAME?</v>
      </c>
      <c r="J48" s="36">
        <v>85</v>
      </c>
      <c r="K48" s="29" t="e">
        <f t="shared" ca="1" si="2"/>
        <v>#NAME?</v>
      </c>
      <c r="L48" s="36">
        <v>72</v>
      </c>
      <c r="M48" s="29" t="e">
        <f t="shared" ca="1" si="3"/>
        <v>#NAME?</v>
      </c>
      <c r="N48" s="37">
        <v>18.34</v>
      </c>
      <c r="O48" s="38">
        <v>51.67</v>
      </c>
      <c r="P48" s="38">
        <v>45.1</v>
      </c>
      <c r="Q48" s="38">
        <v>11.11</v>
      </c>
      <c r="R48" s="38">
        <v>40.74</v>
      </c>
      <c r="S48" s="38">
        <v>0</v>
      </c>
      <c r="T48" s="39">
        <v>16.670000000000002</v>
      </c>
    </row>
    <row r="49" spans="2:20" ht="30.75" customHeight="1">
      <c r="B49" s="33" t="s">
        <v>28</v>
      </c>
      <c r="C49" s="34" t="s">
        <v>19</v>
      </c>
      <c r="D49" s="34" t="s">
        <v>38</v>
      </c>
      <c r="E49" s="35"/>
      <c r="F49" s="36">
        <v>103</v>
      </c>
      <c r="G49" s="28" t="e">
        <f t="shared" ca="1" si="0"/>
        <v>#NAME?</v>
      </c>
      <c r="H49" s="36">
        <v>123</v>
      </c>
      <c r="I49" s="29" t="e">
        <f t="shared" ca="1" si="1"/>
        <v>#NAME?</v>
      </c>
      <c r="J49" s="36">
        <v>87</v>
      </c>
      <c r="K49" s="29" t="e">
        <f t="shared" ca="1" si="2"/>
        <v>#NAME?</v>
      </c>
      <c r="L49" s="36">
        <v>100</v>
      </c>
      <c r="M49" s="29" t="e">
        <f t="shared" ca="1" si="3"/>
        <v>#NAME?</v>
      </c>
      <c r="N49" s="37">
        <v>20</v>
      </c>
      <c r="O49" s="38">
        <v>46.67</v>
      </c>
      <c r="P49" s="38">
        <v>23.53</v>
      </c>
      <c r="Q49" s="38">
        <v>28.89</v>
      </c>
      <c r="R49" s="38">
        <v>29.63</v>
      </c>
      <c r="S49" s="38">
        <v>0</v>
      </c>
      <c r="T49" s="39">
        <v>30</v>
      </c>
    </row>
    <row r="50" spans="2:20" ht="30.75" customHeight="1">
      <c r="B50" s="33" t="s">
        <v>28</v>
      </c>
      <c r="C50" s="34" t="s">
        <v>29</v>
      </c>
      <c r="D50" s="34" t="s">
        <v>27</v>
      </c>
      <c r="E50" s="35"/>
      <c r="F50" s="36">
        <v>88</v>
      </c>
      <c r="G50" s="28" t="e">
        <f t="shared" ca="1" si="0"/>
        <v>#NAME?</v>
      </c>
      <c r="H50" s="36">
        <v>86</v>
      </c>
      <c r="I50" s="29" t="e">
        <f t="shared" ca="1" si="1"/>
        <v>#NAME?</v>
      </c>
      <c r="J50" s="36">
        <v>89</v>
      </c>
      <c r="K50" s="29" t="e">
        <f t="shared" ca="1" si="2"/>
        <v>#NAME?</v>
      </c>
      <c r="L50" s="36">
        <v>92</v>
      </c>
      <c r="M50" s="29" t="e">
        <f t="shared" ca="1" si="3"/>
        <v>#NAME?</v>
      </c>
      <c r="N50" s="37">
        <v>16.350000000000001</v>
      </c>
      <c r="O50" s="38">
        <v>38.33</v>
      </c>
      <c r="P50" s="38">
        <v>52.94</v>
      </c>
      <c r="Q50" s="38">
        <v>24.44</v>
      </c>
      <c r="R50" s="38">
        <v>44.44</v>
      </c>
      <c r="S50" s="38">
        <v>0</v>
      </c>
      <c r="T50" s="39">
        <v>0</v>
      </c>
    </row>
    <row r="51" spans="2:20" ht="30.75" customHeight="1">
      <c r="B51" s="33"/>
      <c r="C51" s="34" t="s">
        <v>33</v>
      </c>
      <c r="D51" s="34" t="s">
        <v>20</v>
      </c>
      <c r="E51" s="35"/>
      <c r="F51" s="36">
        <v>78</v>
      </c>
      <c r="G51" s="28" t="e">
        <f t="shared" ca="1" si="0"/>
        <v>#NAME?</v>
      </c>
      <c r="H51" s="36">
        <v>65</v>
      </c>
      <c r="I51" s="29" t="e">
        <f t="shared" ca="1" si="1"/>
        <v>#NAME?</v>
      </c>
      <c r="J51" s="36">
        <v>90</v>
      </c>
      <c r="K51" s="29" t="e">
        <f t="shared" ca="1" si="2"/>
        <v>#NAME?</v>
      </c>
      <c r="L51" s="36">
        <v>64</v>
      </c>
      <c r="M51" s="29" t="e">
        <f t="shared" ca="1" si="3"/>
        <v>#NAME?</v>
      </c>
      <c r="N51" s="37">
        <v>18.91</v>
      </c>
      <c r="O51" s="38">
        <v>47.37</v>
      </c>
      <c r="P51" s="38">
        <v>52.94</v>
      </c>
      <c r="Q51" s="38">
        <v>8.89</v>
      </c>
      <c r="R51" s="38">
        <v>29.63</v>
      </c>
      <c r="S51" s="38">
        <v>0</v>
      </c>
      <c r="T51" s="39">
        <v>50</v>
      </c>
    </row>
    <row r="52" spans="2:20" ht="30.75" customHeight="1">
      <c r="B52" s="33" t="s">
        <v>28</v>
      </c>
      <c r="C52" s="34" t="s">
        <v>29</v>
      </c>
      <c r="D52" s="34" t="s">
        <v>27</v>
      </c>
      <c r="E52" s="35"/>
      <c r="F52" s="36">
        <v>96</v>
      </c>
      <c r="G52" s="28" t="e">
        <f t="shared" ca="1" si="0"/>
        <v>#NAME?</v>
      </c>
      <c r="H52" s="36">
        <v>93</v>
      </c>
      <c r="I52" s="29" t="e">
        <f t="shared" ca="1" si="1"/>
        <v>#NAME?</v>
      </c>
      <c r="J52" s="36">
        <v>91</v>
      </c>
      <c r="K52" s="29" t="e">
        <f t="shared" ca="1" si="2"/>
        <v>#NAME?</v>
      </c>
      <c r="L52" s="36">
        <v>89</v>
      </c>
      <c r="M52" s="29" t="e">
        <f t="shared" ca="1" si="3"/>
        <v>#NAME?</v>
      </c>
      <c r="N52" s="37">
        <v>15.85</v>
      </c>
      <c r="O52" s="38">
        <v>45.61</v>
      </c>
      <c r="P52" s="38">
        <v>45.1</v>
      </c>
      <c r="Q52" s="38">
        <v>20</v>
      </c>
      <c r="R52" s="38">
        <v>44.44</v>
      </c>
      <c r="S52" s="38">
        <v>5.26</v>
      </c>
      <c r="T52" s="39">
        <v>0</v>
      </c>
    </row>
    <row r="53" spans="2:20" ht="30.75" customHeight="1">
      <c r="B53" s="33" t="s">
        <v>28</v>
      </c>
      <c r="C53" s="34" t="s">
        <v>19</v>
      </c>
      <c r="D53" s="34" t="s">
        <v>38</v>
      </c>
      <c r="E53" s="35"/>
      <c r="F53" s="36">
        <v>94</v>
      </c>
      <c r="G53" s="28" t="e">
        <f t="shared" ca="1" si="0"/>
        <v>#NAME?</v>
      </c>
      <c r="H53" s="36">
        <v>72</v>
      </c>
      <c r="I53" s="29" t="e">
        <f t="shared" ca="1" si="1"/>
        <v>#NAME?</v>
      </c>
      <c r="J53" s="36">
        <v>93</v>
      </c>
      <c r="K53" s="29" t="e">
        <f t="shared" ca="1" si="2"/>
        <v>#NAME?</v>
      </c>
      <c r="L53" s="36">
        <v>91</v>
      </c>
      <c r="M53" s="29" t="e">
        <f t="shared" ca="1" si="3"/>
        <v>#NAME?</v>
      </c>
      <c r="N53" s="37">
        <v>16.96</v>
      </c>
      <c r="O53" s="38">
        <v>33.33</v>
      </c>
      <c r="P53" s="38">
        <v>62.75</v>
      </c>
      <c r="Q53" s="38">
        <v>6.67</v>
      </c>
      <c r="R53" s="38">
        <v>59.26</v>
      </c>
      <c r="S53" s="38">
        <v>0</v>
      </c>
      <c r="T53" s="39">
        <v>0</v>
      </c>
    </row>
    <row r="54" spans="2:20" ht="30.75" customHeight="1">
      <c r="B54" s="33"/>
      <c r="C54" s="34" t="s">
        <v>29</v>
      </c>
      <c r="D54" s="34" t="s">
        <v>27</v>
      </c>
      <c r="E54" s="35"/>
      <c r="F54" s="36">
        <v>105</v>
      </c>
      <c r="G54" s="28" t="e">
        <f t="shared" ca="1" si="0"/>
        <v>#NAME?</v>
      </c>
      <c r="H54" s="36">
        <v>87</v>
      </c>
      <c r="I54" s="29" t="e">
        <f t="shared" ca="1" si="1"/>
        <v>#NAME?</v>
      </c>
      <c r="J54" s="36">
        <v>95</v>
      </c>
      <c r="K54" s="29" t="e">
        <f t="shared" ca="1" si="2"/>
        <v>#NAME?</v>
      </c>
      <c r="L54" s="36">
        <v>87</v>
      </c>
      <c r="M54" s="29" t="e">
        <f t="shared" ca="1" si="3"/>
        <v>#NAME?</v>
      </c>
      <c r="N54" s="37">
        <v>16.63</v>
      </c>
      <c r="O54" s="38">
        <v>43.86</v>
      </c>
      <c r="P54" s="38">
        <v>52.94</v>
      </c>
      <c r="Q54" s="38">
        <v>6.67</v>
      </c>
      <c r="R54" s="38">
        <v>55.56</v>
      </c>
      <c r="S54" s="38">
        <v>0</v>
      </c>
      <c r="T54" s="39">
        <v>0</v>
      </c>
    </row>
    <row r="55" spans="2:20" ht="30.75" customHeight="1">
      <c r="B55" s="33" t="s">
        <v>28</v>
      </c>
      <c r="C55" s="34" t="s">
        <v>19</v>
      </c>
      <c r="D55" s="34" t="s">
        <v>39</v>
      </c>
      <c r="E55" s="35"/>
      <c r="F55" s="36">
        <v>110</v>
      </c>
      <c r="G55" s="28" t="e">
        <f t="shared" ca="1" si="0"/>
        <v>#NAME?</v>
      </c>
      <c r="H55" s="36">
        <v>108</v>
      </c>
      <c r="I55" s="29" t="e">
        <f t="shared" ca="1" si="1"/>
        <v>#NAME?</v>
      </c>
      <c r="J55" s="36">
        <v>96</v>
      </c>
      <c r="K55" s="29" t="e">
        <f t="shared" ca="1" si="2"/>
        <v>#NAME?</v>
      </c>
      <c r="L55" s="36">
        <v>116</v>
      </c>
      <c r="M55" s="29" t="e">
        <f t="shared" ca="1" si="3"/>
        <v>#NAME?</v>
      </c>
      <c r="N55" s="37">
        <v>20</v>
      </c>
      <c r="O55" s="38">
        <v>26.32</v>
      </c>
      <c r="P55" s="38">
        <v>39.22</v>
      </c>
      <c r="Q55" s="38">
        <v>20</v>
      </c>
      <c r="R55" s="38">
        <v>44.44</v>
      </c>
      <c r="S55" s="38">
        <v>5.26</v>
      </c>
      <c r="T55" s="39">
        <v>26.67</v>
      </c>
    </row>
    <row r="56" spans="2:20" ht="30.75" customHeight="1">
      <c r="B56" s="40" t="s">
        <v>28</v>
      </c>
      <c r="C56" s="42" t="s">
        <v>29</v>
      </c>
      <c r="D56" s="42" t="s">
        <v>27</v>
      </c>
      <c r="E56" s="41" t="s">
        <v>40</v>
      </c>
      <c r="F56" s="43">
        <v>104</v>
      </c>
      <c r="G56" s="44" t="e">
        <f t="shared" ca="1" si="0"/>
        <v>#NAME?</v>
      </c>
      <c r="H56" s="43">
        <v>116</v>
      </c>
      <c r="I56" s="45" t="e">
        <f t="shared" ca="1" si="1"/>
        <v>#NAME?</v>
      </c>
      <c r="J56" s="43">
        <v>100</v>
      </c>
      <c r="K56" s="45" t="e">
        <f t="shared" ca="1" si="2"/>
        <v>#NAME?</v>
      </c>
      <c r="L56" s="43">
        <v>120</v>
      </c>
      <c r="M56" s="45" t="e">
        <f t="shared" ca="1" si="3"/>
        <v>#NAME?</v>
      </c>
      <c r="N56" s="37">
        <v>16.29</v>
      </c>
      <c r="O56" s="46">
        <v>29.82</v>
      </c>
      <c r="P56" s="46">
        <v>35.29</v>
      </c>
      <c r="Q56" s="46">
        <v>33.33</v>
      </c>
      <c r="R56" s="46">
        <v>25.93</v>
      </c>
      <c r="S56" s="46">
        <v>15.79</v>
      </c>
      <c r="T56" s="47">
        <v>64.44</v>
      </c>
    </row>
    <row r="57" spans="2:20" ht="30.75" customHeight="1">
      <c r="B57" s="33" t="s">
        <v>28</v>
      </c>
      <c r="C57" s="34" t="s">
        <v>19</v>
      </c>
      <c r="D57" s="34" t="s">
        <v>38</v>
      </c>
      <c r="E57" s="35"/>
      <c r="F57" s="36">
        <v>73</v>
      </c>
      <c r="G57" s="28" t="e">
        <f t="shared" ca="1" si="0"/>
        <v>#NAME?</v>
      </c>
      <c r="H57" s="36">
        <v>60</v>
      </c>
      <c r="I57" s="29" t="e">
        <f t="shared" ca="1" si="1"/>
        <v>#NAME?</v>
      </c>
      <c r="J57" s="36">
        <v>102</v>
      </c>
      <c r="K57" s="29" t="e">
        <f t="shared" ca="1" si="2"/>
        <v>#NAME?</v>
      </c>
      <c r="L57" s="36">
        <v>84</v>
      </c>
      <c r="M57" s="29" t="e">
        <f t="shared" ca="1" si="3"/>
        <v>#NAME?</v>
      </c>
      <c r="N57" s="37">
        <v>18.899999999999999</v>
      </c>
      <c r="O57" s="38">
        <v>26.67</v>
      </c>
      <c r="P57" s="38">
        <v>68.63</v>
      </c>
      <c r="Q57" s="38">
        <v>31.11</v>
      </c>
      <c r="R57" s="38">
        <v>18.52</v>
      </c>
      <c r="S57" s="38">
        <v>0</v>
      </c>
      <c r="T57" s="39">
        <v>13.33</v>
      </c>
    </row>
    <row r="58" spans="2:20" ht="30.75" customHeight="1">
      <c r="B58" s="33"/>
      <c r="C58" s="34"/>
      <c r="D58" s="34"/>
      <c r="E58" s="35"/>
      <c r="F58" s="36">
        <v>140</v>
      </c>
      <c r="G58" s="28" t="e">
        <f t="shared" ca="1" si="0"/>
        <v>#NAME?</v>
      </c>
      <c r="H58" s="36">
        <v>172</v>
      </c>
      <c r="I58" s="29" t="e">
        <f t="shared" ca="1" si="1"/>
        <v>#NAME?</v>
      </c>
      <c r="J58" s="36">
        <v>106</v>
      </c>
      <c r="K58" s="29" t="e">
        <f t="shared" ca="1" si="2"/>
        <v>#NAME?</v>
      </c>
      <c r="L58" s="36">
        <v>132</v>
      </c>
      <c r="M58" s="29" t="e">
        <f t="shared" ca="1" si="3"/>
        <v>#NAME?</v>
      </c>
      <c r="N58" s="37">
        <v>17.36</v>
      </c>
      <c r="O58" s="38">
        <v>48.33</v>
      </c>
      <c r="P58" s="38">
        <v>19.61</v>
      </c>
      <c r="Q58" s="38">
        <v>24.44</v>
      </c>
      <c r="R58" s="38">
        <v>44.44</v>
      </c>
      <c r="S58" s="38">
        <v>0</v>
      </c>
      <c r="T58" s="39">
        <v>8.89</v>
      </c>
    </row>
    <row r="59" spans="2:20" ht="30.75" customHeight="1">
      <c r="B59" s="40"/>
      <c r="C59" s="42" t="s">
        <v>19</v>
      </c>
      <c r="D59" s="42" t="s">
        <v>24</v>
      </c>
      <c r="E59" s="41" t="s">
        <v>41</v>
      </c>
      <c r="F59" s="43">
        <v>167</v>
      </c>
      <c r="G59" s="44" t="e">
        <f t="shared" ca="1" si="0"/>
        <v>#NAME?</v>
      </c>
      <c r="H59" s="43">
        <v>210</v>
      </c>
      <c r="I59" s="45" t="e">
        <f t="shared" ca="1" si="1"/>
        <v>#NAME?</v>
      </c>
      <c r="J59" s="43">
        <v>107</v>
      </c>
      <c r="K59" s="45" t="e">
        <f t="shared" ca="1" si="2"/>
        <v>#NAME?</v>
      </c>
      <c r="L59" s="43">
        <v>168</v>
      </c>
      <c r="M59" s="45" t="e">
        <f t="shared" ca="1" si="3"/>
        <v>#NAME?</v>
      </c>
      <c r="N59" s="37">
        <v>17.89</v>
      </c>
      <c r="O59" s="46">
        <v>35</v>
      </c>
      <c r="P59" s="46">
        <v>17.649999999999999</v>
      </c>
      <c r="Q59" s="46">
        <v>24.44</v>
      </c>
      <c r="R59" s="46">
        <v>55.56</v>
      </c>
      <c r="S59" s="46">
        <v>5.26</v>
      </c>
      <c r="T59" s="47">
        <v>17.78</v>
      </c>
    </row>
    <row r="60" spans="2:20" ht="30.75" customHeight="1">
      <c r="B60" s="33" t="s">
        <v>23</v>
      </c>
      <c r="C60" s="34" t="s">
        <v>30</v>
      </c>
      <c r="D60" s="34" t="s">
        <v>24</v>
      </c>
      <c r="E60" s="35"/>
      <c r="F60" s="36">
        <v>93</v>
      </c>
      <c r="G60" s="28" t="e">
        <f t="shared" ca="1" si="0"/>
        <v>#NAME?</v>
      </c>
      <c r="H60" s="36">
        <v>85</v>
      </c>
      <c r="I60" s="29" t="e">
        <f t="shared" ca="1" si="1"/>
        <v>#NAME?</v>
      </c>
      <c r="J60" s="36">
        <v>108</v>
      </c>
      <c r="K60" s="29" t="e">
        <f t="shared" ca="1" si="2"/>
        <v>#NAME?</v>
      </c>
      <c r="L60" s="36">
        <v>78</v>
      </c>
      <c r="M60" s="29" t="e">
        <f t="shared" ca="1" si="3"/>
        <v>#NAME?</v>
      </c>
      <c r="N60" s="37">
        <v>20</v>
      </c>
      <c r="O60" s="38">
        <v>50</v>
      </c>
      <c r="P60" s="38">
        <v>50.98</v>
      </c>
      <c r="Q60" s="38">
        <v>11.11</v>
      </c>
      <c r="R60" s="38">
        <v>25.93</v>
      </c>
      <c r="S60" s="38">
        <v>0</v>
      </c>
      <c r="T60" s="39">
        <v>3.33</v>
      </c>
    </row>
    <row r="61" spans="2:20" ht="30.75" customHeight="1">
      <c r="B61" s="33" t="s">
        <v>28</v>
      </c>
      <c r="C61" s="34" t="s">
        <v>19</v>
      </c>
      <c r="D61" s="34" t="s">
        <v>38</v>
      </c>
      <c r="E61" s="35"/>
      <c r="F61" s="36">
        <v>84</v>
      </c>
      <c r="G61" s="28" t="e">
        <f t="shared" ca="1" si="0"/>
        <v>#NAME?</v>
      </c>
      <c r="H61" s="36">
        <v>76</v>
      </c>
      <c r="I61" s="29" t="e">
        <f t="shared" ca="1" si="1"/>
        <v>#NAME?</v>
      </c>
      <c r="J61" s="36">
        <v>111</v>
      </c>
      <c r="K61" s="29" t="e">
        <f t="shared" ca="1" si="2"/>
        <v>#NAME?</v>
      </c>
      <c r="L61" s="36">
        <v>81</v>
      </c>
      <c r="M61" s="29" t="e">
        <f t="shared" ca="1" si="3"/>
        <v>#NAME?</v>
      </c>
      <c r="N61" s="37">
        <v>18.190000000000001</v>
      </c>
      <c r="O61" s="38">
        <v>38.6</v>
      </c>
      <c r="P61" s="38">
        <v>56.86</v>
      </c>
      <c r="Q61" s="38">
        <v>22.22</v>
      </c>
      <c r="R61" s="38">
        <v>14.81</v>
      </c>
      <c r="S61" s="38">
        <v>0</v>
      </c>
      <c r="T61" s="39">
        <v>50</v>
      </c>
    </row>
    <row r="62" spans="2:20" ht="30.75" customHeight="1">
      <c r="B62" s="40"/>
      <c r="C62" s="42" t="s">
        <v>32</v>
      </c>
      <c r="D62" s="42" t="s">
        <v>24</v>
      </c>
      <c r="E62" s="41" t="s">
        <v>42</v>
      </c>
      <c r="F62" s="43">
        <v>96</v>
      </c>
      <c r="G62" s="44" t="e">
        <f t="shared" ca="1" si="0"/>
        <v>#NAME?</v>
      </c>
      <c r="H62" s="43">
        <v>84</v>
      </c>
      <c r="I62" s="45" t="e">
        <f t="shared" ca="1" si="1"/>
        <v>#NAME?</v>
      </c>
      <c r="J62" s="43">
        <v>112</v>
      </c>
      <c r="K62" s="45" t="e">
        <f t="shared" ca="1" si="2"/>
        <v>#NAME?</v>
      </c>
      <c r="L62" s="43">
        <v>84</v>
      </c>
      <c r="M62" s="45" t="e">
        <f t="shared" ca="1" si="3"/>
        <v>#NAME?</v>
      </c>
      <c r="N62" s="37">
        <v>18.59</v>
      </c>
      <c r="O62" s="46">
        <v>48.33</v>
      </c>
      <c r="P62" s="46">
        <v>52.94</v>
      </c>
      <c r="Q62" s="46">
        <v>20</v>
      </c>
      <c r="R62" s="46">
        <v>25.93</v>
      </c>
      <c r="S62" s="46">
        <v>0</v>
      </c>
      <c r="T62" s="47">
        <v>0</v>
      </c>
    </row>
    <row r="63" spans="2:20" ht="30.75" customHeight="1">
      <c r="B63" s="33" t="s">
        <v>28</v>
      </c>
      <c r="C63" s="34" t="s">
        <v>19</v>
      </c>
      <c r="D63" s="34" t="s">
        <v>43</v>
      </c>
      <c r="E63" s="35"/>
      <c r="F63" s="36">
        <v>101</v>
      </c>
      <c r="G63" s="28" t="e">
        <f t="shared" ca="1" si="0"/>
        <v>#NAME?</v>
      </c>
      <c r="H63" s="36">
        <v>106</v>
      </c>
      <c r="I63" s="29" t="e">
        <f t="shared" ca="1" si="1"/>
        <v>#NAME?</v>
      </c>
      <c r="J63" s="36">
        <v>112</v>
      </c>
      <c r="K63" s="29" t="e">
        <f t="shared" ca="1" si="2"/>
        <v>#NAME?</v>
      </c>
      <c r="L63" s="36">
        <v>99</v>
      </c>
      <c r="M63" s="29" t="e">
        <f t="shared" ca="1" si="3"/>
        <v>#NAME?</v>
      </c>
      <c r="N63" s="37">
        <v>16.760000000000002</v>
      </c>
      <c r="O63" s="38">
        <v>48.33</v>
      </c>
      <c r="P63" s="38">
        <v>43.14</v>
      </c>
      <c r="Q63" s="38">
        <v>31.11</v>
      </c>
      <c r="R63" s="38">
        <v>22.22</v>
      </c>
      <c r="S63" s="38">
        <v>0</v>
      </c>
      <c r="T63" s="39">
        <v>0</v>
      </c>
    </row>
    <row r="64" spans="2:20" ht="30.75" customHeight="1">
      <c r="B64" s="33" t="s">
        <v>28</v>
      </c>
      <c r="C64" s="34" t="s">
        <v>21</v>
      </c>
      <c r="D64" s="34" t="s">
        <v>27</v>
      </c>
      <c r="E64" s="35"/>
      <c r="F64" s="36">
        <v>120</v>
      </c>
      <c r="G64" s="28" t="e">
        <f t="shared" ca="1" si="0"/>
        <v>#NAME?</v>
      </c>
      <c r="H64" s="36">
        <v>118</v>
      </c>
      <c r="I64" s="29" t="e">
        <f t="shared" ca="1" si="1"/>
        <v>#NAME?</v>
      </c>
      <c r="J64" s="36">
        <v>115</v>
      </c>
      <c r="K64" s="29" t="e">
        <f t="shared" ca="1" si="2"/>
        <v>#NAME?</v>
      </c>
      <c r="L64" s="36">
        <v>103</v>
      </c>
      <c r="M64" s="29" t="e">
        <f t="shared" ca="1" si="3"/>
        <v>#NAME?</v>
      </c>
      <c r="N64" s="37">
        <v>17.27</v>
      </c>
      <c r="O64" s="38">
        <v>51.67</v>
      </c>
      <c r="P64" s="38">
        <v>33.33</v>
      </c>
      <c r="Q64" s="38">
        <v>16.670000000000002</v>
      </c>
      <c r="R64" s="38">
        <v>29.63</v>
      </c>
      <c r="S64" s="38">
        <v>0</v>
      </c>
      <c r="T64" s="39">
        <v>38.89</v>
      </c>
    </row>
    <row r="65" spans="2:20" ht="30.75" customHeight="1">
      <c r="B65" s="33" t="s">
        <v>28</v>
      </c>
      <c r="C65" s="34" t="s">
        <v>29</v>
      </c>
      <c r="D65" s="34" t="s">
        <v>27</v>
      </c>
      <c r="E65" s="35"/>
      <c r="F65" s="36">
        <v>104</v>
      </c>
      <c r="G65" s="28" t="e">
        <f t="shared" ca="1" si="0"/>
        <v>#NAME?</v>
      </c>
      <c r="H65" s="36">
        <v>98</v>
      </c>
      <c r="I65" s="29" t="e">
        <f t="shared" ca="1" si="1"/>
        <v>#NAME?</v>
      </c>
      <c r="J65" s="36">
        <v>116</v>
      </c>
      <c r="K65" s="29" t="e">
        <f t="shared" ca="1" si="2"/>
        <v>#NAME?</v>
      </c>
      <c r="L65" s="36">
        <v>98</v>
      </c>
      <c r="M65" s="29" t="e">
        <f t="shared" ca="1" si="3"/>
        <v>#NAME?</v>
      </c>
      <c r="N65" s="37">
        <v>17.86</v>
      </c>
      <c r="O65" s="38">
        <v>45</v>
      </c>
      <c r="P65" s="38">
        <v>47.06</v>
      </c>
      <c r="Q65" s="38">
        <v>24.44</v>
      </c>
      <c r="R65" s="38">
        <v>25.93</v>
      </c>
      <c r="S65" s="38">
        <v>0</v>
      </c>
      <c r="T65" s="39">
        <v>0</v>
      </c>
    </row>
    <row r="66" spans="2:20" ht="30.75" customHeight="1">
      <c r="B66" s="33" t="s">
        <v>28</v>
      </c>
      <c r="C66" s="34" t="s">
        <v>19</v>
      </c>
      <c r="D66" s="34" t="s">
        <v>44</v>
      </c>
      <c r="E66" s="35"/>
      <c r="F66" s="36">
        <v>116</v>
      </c>
      <c r="G66" s="28" t="e">
        <f t="shared" ca="1" si="0"/>
        <v>#NAME?</v>
      </c>
      <c r="H66" s="36">
        <v>100</v>
      </c>
      <c r="I66" s="29" t="e">
        <f t="shared" ca="1" si="1"/>
        <v>#NAME?</v>
      </c>
      <c r="J66" s="36">
        <v>117</v>
      </c>
      <c r="K66" s="29" t="e">
        <f t="shared" ca="1" si="2"/>
        <v>#NAME?</v>
      </c>
      <c r="L66" s="36">
        <v>108</v>
      </c>
      <c r="M66" s="29" t="e">
        <f t="shared" ca="1" si="3"/>
        <v>#NAME?</v>
      </c>
      <c r="N66" s="37">
        <v>19.21</v>
      </c>
      <c r="O66" s="38">
        <v>36.840000000000003</v>
      </c>
      <c r="P66" s="38">
        <v>49.02</v>
      </c>
      <c r="Q66" s="38">
        <v>13.33</v>
      </c>
      <c r="R66" s="38">
        <v>40.74</v>
      </c>
      <c r="S66" s="38">
        <v>0</v>
      </c>
      <c r="T66" s="39">
        <v>0</v>
      </c>
    </row>
    <row r="67" spans="2:20" ht="30.75" customHeight="1">
      <c r="B67" s="40" t="s">
        <v>28</v>
      </c>
      <c r="C67" s="42" t="s">
        <v>19</v>
      </c>
      <c r="D67" s="42" t="s">
        <v>27</v>
      </c>
      <c r="E67" s="41" t="s">
        <v>45</v>
      </c>
      <c r="F67" s="43">
        <v>82</v>
      </c>
      <c r="G67" s="44" t="e">
        <f t="shared" ca="1" si="0"/>
        <v>#NAME?</v>
      </c>
      <c r="H67" s="43">
        <v>100</v>
      </c>
      <c r="I67" s="45" t="e">
        <f t="shared" ca="1" si="1"/>
        <v>#NAME?</v>
      </c>
      <c r="J67" s="43">
        <v>120</v>
      </c>
      <c r="K67" s="45" t="e">
        <f t="shared" ca="1" si="2"/>
        <v>#NAME?</v>
      </c>
      <c r="L67" s="43">
        <v>116</v>
      </c>
      <c r="M67" s="45" t="e">
        <f t="shared" ca="1" si="3"/>
        <v>#NAME?</v>
      </c>
      <c r="N67" s="37">
        <v>18.39</v>
      </c>
      <c r="O67" s="46">
        <v>28.07</v>
      </c>
      <c r="P67" s="46">
        <v>47.06</v>
      </c>
      <c r="Q67" s="46">
        <v>51.11</v>
      </c>
      <c r="R67" s="46">
        <v>-3.69</v>
      </c>
      <c r="S67" s="46">
        <v>-1.74</v>
      </c>
      <c r="T67" s="47">
        <v>64.44</v>
      </c>
    </row>
    <row r="68" spans="2:20" ht="30.75" customHeight="1">
      <c r="B68" s="33"/>
      <c r="C68" s="34"/>
      <c r="D68" s="34"/>
      <c r="E68" s="35"/>
      <c r="F68" s="36">
        <v>95</v>
      </c>
      <c r="G68" s="28" t="e">
        <f t="shared" ca="1" si="0"/>
        <v>#NAME?</v>
      </c>
      <c r="H68" s="36">
        <v>68</v>
      </c>
      <c r="I68" s="29" t="e">
        <f t="shared" ca="1" si="1"/>
        <v>#NAME?</v>
      </c>
      <c r="J68" s="36">
        <v>120</v>
      </c>
      <c r="K68" s="29" t="e">
        <f t="shared" ca="1" si="2"/>
        <v>#NAME?</v>
      </c>
      <c r="L68" s="36">
        <v>77</v>
      </c>
      <c r="M68" s="29" t="e">
        <f t="shared" ca="1" si="3"/>
        <v>#NAME?</v>
      </c>
      <c r="N68" s="37">
        <v>17.46</v>
      </c>
      <c r="O68" s="38">
        <v>46.67</v>
      </c>
      <c r="P68" s="38">
        <v>64.709999999999994</v>
      </c>
      <c r="Q68" s="38">
        <v>2.2200000000000002</v>
      </c>
      <c r="R68" s="38">
        <v>33.33</v>
      </c>
      <c r="S68" s="38">
        <v>5.26</v>
      </c>
      <c r="T68" s="39">
        <v>0</v>
      </c>
    </row>
    <row r="69" spans="2:20" ht="30.75" customHeight="1">
      <c r="B69" s="33" t="s">
        <v>28</v>
      </c>
      <c r="C69" s="34" t="s">
        <v>19</v>
      </c>
      <c r="D69" s="34" t="s">
        <v>44</v>
      </c>
      <c r="E69" s="35"/>
      <c r="F69" s="36">
        <v>166</v>
      </c>
      <c r="G69" s="28" t="e">
        <f t="shared" ca="1" si="0"/>
        <v>#NAME?</v>
      </c>
      <c r="H69" s="36">
        <v>189</v>
      </c>
      <c r="I69" s="29" t="e">
        <f t="shared" ca="1" si="1"/>
        <v>#NAME?</v>
      </c>
      <c r="J69" s="36">
        <v>124</v>
      </c>
      <c r="K69" s="29" t="e">
        <f t="shared" ca="1" si="2"/>
        <v>#NAME?</v>
      </c>
      <c r="L69" s="36">
        <v>189</v>
      </c>
      <c r="M69" s="29" t="e">
        <f t="shared" ca="1" si="3"/>
        <v>#NAME?</v>
      </c>
      <c r="N69" s="37">
        <v>14.05</v>
      </c>
      <c r="O69" s="38">
        <v>28.07</v>
      </c>
      <c r="P69" s="38">
        <v>29.41</v>
      </c>
      <c r="Q69" s="38">
        <v>24.44</v>
      </c>
      <c r="R69" s="38">
        <v>59.26</v>
      </c>
      <c r="S69" s="38">
        <v>1.75</v>
      </c>
      <c r="T69" s="39">
        <v>32.22</v>
      </c>
    </row>
    <row r="70" spans="2:20" ht="30.75" customHeight="1">
      <c r="B70" s="33" t="s">
        <v>28</v>
      </c>
      <c r="C70" s="34" t="s">
        <v>33</v>
      </c>
      <c r="D70" s="34" t="s">
        <v>38</v>
      </c>
      <c r="E70" s="35"/>
      <c r="F70" s="36">
        <v>132</v>
      </c>
      <c r="G70" s="28" t="e">
        <f t="shared" ca="1" si="0"/>
        <v>#NAME?</v>
      </c>
      <c r="H70" s="36">
        <v>151</v>
      </c>
      <c r="I70" s="29" t="e">
        <f t="shared" ca="1" si="1"/>
        <v>#NAME?</v>
      </c>
      <c r="J70" s="36">
        <v>125</v>
      </c>
      <c r="K70" s="29" t="e">
        <f t="shared" ca="1" si="2"/>
        <v>#NAME?</v>
      </c>
      <c r="L70" s="36">
        <v>125</v>
      </c>
      <c r="M70" s="29" t="e">
        <f t="shared" ca="1" si="3"/>
        <v>#NAME?</v>
      </c>
      <c r="N70" s="37">
        <v>18.37</v>
      </c>
      <c r="O70" s="38">
        <v>42.11</v>
      </c>
      <c r="P70" s="38">
        <v>23.53</v>
      </c>
      <c r="Q70" s="38">
        <v>20.83</v>
      </c>
      <c r="R70" s="38">
        <v>25.93</v>
      </c>
      <c r="S70" s="38">
        <v>12.28</v>
      </c>
      <c r="T70" s="39">
        <v>40</v>
      </c>
    </row>
    <row r="71" spans="2:20" ht="30.75" customHeight="1">
      <c r="B71" s="33" t="s">
        <v>36</v>
      </c>
      <c r="C71" s="34" t="s">
        <v>29</v>
      </c>
      <c r="D71" s="34" t="s">
        <v>27</v>
      </c>
      <c r="E71" s="35"/>
      <c r="F71" s="36">
        <v>125</v>
      </c>
      <c r="G71" s="28" t="e">
        <f t="shared" ca="1" si="0"/>
        <v>#NAME?</v>
      </c>
      <c r="H71" s="36">
        <v>116</v>
      </c>
      <c r="I71" s="29" t="e">
        <f t="shared" ca="1" si="1"/>
        <v>#NAME?</v>
      </c>
      <c r="J71" s="36">
        <v>134</v>
      </c>
      <c r="K71" s="29" t="e">
        <f t="shared" ca="1" si="2"/>
        <v>#NAME?</v>
      </c>
      <c r="L71" s="36">
        <v>152</v>
      </c>
      <c r="M71" s="29" t="e">
        <f t="shared" ca="1" si="3"/>
        <v>#NAME?</v>
      </c>
      <c r="N71" s="37">
        <v>16.579999999999998</v>
      </c>
      <c r="O71" s="38">
        <v>15.79</v>
      </c>
      <c r="P71" s="38">
        <v>47.06</v>
      </c>
      <c r="Q71" s="38">
        <v>24.44</v>
      </c>
      <c r="R71" s="38">
        <v>37.04</v>
      </c>
      <c r="S71" s="38">
        <v>-1.74</v>
      </c>
      <c r="T71" s="39">
        <v>80</v>
      </c>
    </row>
    <row r="72" spans="2:20" ht="30.75" customHeight="1">
      <c r="B72" s="33" t="s">
        <v>34</v>
      </c>
      <c r="C72" s="34" t="s">
        <v>31</v>
      </c>
      <c r="D72" s="34" t="s">
        <v>24</v>
      </c>
      <c r="E72" s="35"/>
      <c r="F72" s="36">
        <v>83</v>
      </c>
      <c r="G72" s="28" t="e">
        <f t="shared" ca="1" si="0"/>
        <v>#NAME?</v>
      </c>
      <c r="H72" s="36">
        <v>62</v>
      </c>
      <c r="I72" s="29" t="e">
        <f t="shared" ca="1" si="1"/>
        <v>#NAME?</v>
      </c>
      <c r="J72" s="36">
        <v>140</v>
      </c>
      <c r="K72" s="29" t="e">
        <f t="shared" ca="1" si="2"/>
        <v>#NAME?</v>
      </c>
      <c r="L72" s="36">
        <v>60</v>
      </c>
      <c r="M72" s="29" t="e">
        <f t="shared" ca="1" si="3"/>
        <v>#NAME?</v>
      </c>
      <c r="N72" s="37">
        <v>18.98</v>
      </c>
      <c r="O72" s="38">
        <v>60</v>
      </c>
      <c r="P72" s="38">
        <v>62.75</v>
      </c>
      <c r="Q72" s="38">
        <v>11.11</v>
      </c>
      <c r="R72" s="38">
        <v>0</v>
      </c>
      <c r="S72" s="38">
        <v>0</v>
      </c>
      <c r="T72" s="39">
        <v>15.56</v>
      </c>
    </row>
    <row r="73" spans="2:20" ht="30.75" customHeight="1">
      <c r="B73" s="40"/>
      <c r="C73" s="42"/>
      <c r="D73" s="42"/>
      <c r="E73" s="41" t="s">
        <v>46</v>
      </c>
      <c r="F73" s="43">
        <v>129</v>
      </c>
      <c r="G73" s="44" t="e">
        <f t="shared" ca="1" si="0"/>
        <v>#NAME?</v>
      </c>
      <c r="H73" s="43">
        <v>125</v>
      </c>
      <c r="I73" s="45" t="e">
        <f t="shared" ca="1" si="1"/>
        <v>#NAME?</v>
      </c>
      <c r="J73" s="43">
        <v>142</v>
      </c>
      <c r="K73" s="45" t="e">
        <f t="shared" ca="1" si="2"/>
        <v>#NAME?</v>
      </c>
      <c r="L73" s="43">
        <v>105</v>
      </c>
      <c r="M73" s="45" t="e">
        <f t="shared" ca="1" si="3"/>
        <v>#NAME?</v>
      </c>
      <c r="N73" s="37">
        <v>20</v>
      </c>
      <c r="O73" s="46">
        <v>54.39</v>
      </c>
      <c r="P73" s="46">
        <v>37.25</v>
      </c>
      <c r="Q73" s="46">
        <v>17.78</v>
      </c>
      <c r="R73" s="46">
        <v>18.52</v>
      </c>
      <c r="S73" s="46">
        <v>0</v>
      </c>
      <c r="T73" s="47">
        <v>6.67</v>
      </c>
    </row>
    <row r="74" spans="2:20" ht="30.75" customHeight="1">
      <c r="B74" s="33" t="s">
        <v>28</v>
      </c>
      <c r="C74" s="34" t="s">
        <v>29</v>
      </c>
      <c r="D74" s="34" t="s">
        <v>38</v>
      </c>
      <c r="E74" s="35"/>
      <c r="F74" s="36">
        <v>133</v>
      </c>
      <c r="G74" s="28" t="e">
        <f t="shared" ca="1" si="0"/>
        <v>#NAME?</v>
      </c>
      <c r="H74" s="36">
        <v>113</v>
      </c>
      <c r="I74" s="29" t="e">
        <f t="shared" ca="1" si="1"/>
        <v>#NAME?</v>
      </c>
      <c r="J74" s="36">
        <v>143</v>
      </c>
      <c r="K74" s="29" t="e">
        <f t="shared" ca="1" si="2"/>
        <v>#NAME?</v>
      </c>
      <c r="L74" s="36">
        <v>115</v>
      </c>
      <c r="M74" s="29" t="e">
        <f t="shared" ca="1" si="3"/>
        <v>#NAME?</v>
      </c>
      <c r="N74" s="37">
        <v>14.64</v>
      </c>
      <c r="O74" s="38">
        <v>45.61</v>
      </c>
      <c r="P74" s="38">
        <v>49.02</v>
      </c>
      <c r="Q74" s="38">
        <v>12.5</v>
      </c>
      <c r="R74" s="38">
        <v>40.74</v>
      </c>
      <c r="S74" s="38">
        <v>0</v>
      </c>
      <c r="T74" s="39">
        <v>8.89</v>
      </c>
    </row>
    <row r="75" spans="2:20" ht="30.75" customHeight="1">
      <c r="B75" s="33" t="s">
        <v>28</v>
      </c>
      <c r="C75" s="34" t="s">
        <v>29</v>
      </c>
      <c r="D75" s="34" t="s">
        <v>27</v>
      </c>
      <c r="E75" s="35"/>
      <c r="F75" s="36">
        <v>122</v>
      </c>
      <c r="G75" s="28" t="e">
        <f t="shared" ca="1" si="0"/>
        <v>#NAME?</v>
      </c>
      <c r="H75" s="36">
        <v>117</v>
      </c>
      <c r="I75" s="29" t="e">
        <f t="shared" ca="1" si="1"/>
        <v>#NAME?</v>
      </c>
      <c r="J75" s="36">
        <v>145</v>
      </c>
      <c r="K75" s="29" t="e">
        <f t="shared" ca="1" si="2"/>
        <v>#NAME?</v>
      </c>
      <c r="L75" s="36">
        <v>101</v>
      </c>
      <c r="M75" s="29" t="e">
        <f t="shared" ca="1" si="3"/>
        <v>#NAME?</v>
      </c>
      <c r="N75" s="37">
        <v>17.91</v>
      </c>
      <c r="O75" s="38">
        <v>56.67</v>
      </c>
      <c r="P75" s="38">
        <v>37.25</v>
      </c>
      <c r="Q75" s="38">
        <v>18.75</v>
      </c>
      <c r="R75" s="38">
        <v>11.11</v>
      </c>
      <c r="S75" s="38">
        <v>0</v>
      </c>
      <c r="T75" s="39">
        <v>28.89</v>
      </c>
    </row>
    <row r="76" spans="2:20" ht="30.75" customHeight="1">
      <c r="B76" s="33"/>
      <c r="C76" s="34" t="s">
        <v>30</v>
      </c>
      <c r="D76" s="34" t="s">
        <v>24</v>
      </c>
      <c r="E76" s="35"/>
      <c r="F76" s="36">
        <v>124</v>
      </c>
      <c r="G76" s="28" t="e">
        <f t="shared" ca="1" si="0"/>
        <v>#NAME?</v>
      </c>
      <c r="H76" s="36">
        <v>107</v>
      </c>
      <c r="I76" s="29" t="e">
        <f t="shared" ca="1" si="1"/>
        <v>#NAME?</v>
      </c>
      <c r="J76" s="36">
        <v>147</v>
      </c>
      <c r="K76" s="29" t="e">
        <f t="shared" ca="1" si="2"/>
        <v>#NAME?</v>
      </c>
      <c r="L76" s="36">
        <v>117</v>
      </c>
      <c r="M76" s="29" t="e">
        <f t="shared" ca="1" si="3"/>
        <v>#NAME?</v>
      </c>
      <c r="N76" s="37">
        <v>16.7</v>
      </c>
      <c r="O76" s="38">
        <v>36.840000000000003</v>
      </c>
      <c r="P76" s="38">
        <v>50.98</v>
      </c>
      <c r="Q76" s="38">
        <v>15.56</v>
      </c>
      <c r="R76" s="38">
        <v>25.93</v>
      </c>
      <c r="S76" s="38">
        <v>0</v>
      </c>
      <c r="T76" s="39">
        <v>44.44</v>
      </c>
    </row>
    <row r="77" spans="2:20" ht="30.75" customHeight="1">
      <c r="B77" s="33" t="s">
        <v>34</v>
      </c>
      <c r="C77" s="34" t="s">
        <v>33</v>
      </c>
      <c r="D77" s="34" t="s">
        <v>24</v>
      </c>
      <c r="E77" s="35"/>
      <c r="F77" s="36">
        <v>91</v>
      </c>
      <c r="G77" s="28" t="e">
        <f t="shared" ca="1" si="0"/>
        <v>#NAME?</v>
      </c>
      <c r="H77" s="36">
        <v>77</v>
      </c>
      <c r="I77" s="29" t="e">
        <f t="shared" ca="1" si="1"/>
        <v>#NAME?</v>
      </c>
      <c r="J77" s="36">
        <v>150</v>
      </c>
      <c r="K77" s="29" t="e">
        <f t="shared" ca="1" si="2"/>
        <v>#NAME?</v>
      </c>
      <c r="L77" s="36">
        <v>80</v>
      </c>
      <c r="M77" s="29" t="e">
        <f t="shared" ca="1" si="3"/>
        <v>#NAME?</v>
      </c>
      <c r="N77" s="37">
        <v>15.62</v>
      </c>
      <c r="O77" s="38">
        <v>53.33</v>
      </c>
      <c r="P77" s="38">
        <v>64.709999999999994</v>
      </c>
      <c r="Q77" s="38">
        <v>26.67</v>
      </c>
      <c r="R77" s="38">
        <v>0</v>
      </c>
      <c r="S77" s="38">
        <v>0</v>
      </c>
      <c r="T77" s="39">
        <v>0</v>
      </c>
    </row>
    <row r="78" spans="2:20" ht="30.75" customHeight="1">
      <c r="B78" s="33" t="s">
        <v>47</v>
      </c>
      <c r="C78" s="34" t="s">
        <v>30</v>
      </c>
      <c r="D78" s="34" t="s">
        <v>20</v>
      </c>
      <c r="E78" s="35"/>
      <c r="F78" s="36">
        <v>162</v>
      </c>
      <c r="G78" s="28" t="e">
        <f t="shared" ca="1" si="0"/>
        <v>#NAME?</v>
      </c>
      <c r="H78" s="48">
        <v>185</v>
      </c>
      <c r="I78" s="29" t="e">
        <f t="shared" ca="1" si="1"/>
        <v>#NAME?</v>
      </c>
      <c r="J78" s="36">
        <v>152</v>
      </c>
      <c r="K78" s="29" t="e">
        <f t="shared" ca="1" si="2"/>
        <v>#NAME?</v>
      </c>
      <c r="L78" s="36">
        <v>155</v>
      </c>
      <c r="M78" s="29" t="e">
        <f t="shared" ca="1" si="3"/>
        <v>#NAME?</v>
      </c>
      <c r="N78" s="37">
        <v>15.57</v>
      </c>
      <c r="O78" s="38">
        <v>45</v>
      </c>
      <c r="P78" s="38">
        <v>31.37</v>
      </c>
      <c r="Q78" s="38">
        <v>28.89</v>
      </c>
      <c r="R78" s="38">
        <v>29.63</v>
      </c>
      <c r="S78" s="38">
        <v>0</v>
      </c>
      <c r="T78" s="39">
        <v>0</v>
      </c>
    </row>
    <row r="79" spans="2:20" ht="30.75" customHeight="1">
      <c r="B79" s="33" t="s">
        <v>23</v>
      </c>
      <c r="C79" s="34" t="s">
        <v>30</v>
      </c>
      <c r="D79" s="34" t="s">
        <v>24</v>
      </c>
      <c r="E79" s="35"/>
      <c r="F79" s="36">
        <v>126</v>
      </c>
      <c r="G79" s="28" t="e">
        <f t="shared" ca="1" si="0"/>
        <v>#NAME?</v>
      </c>
      <c r="H79" s="48">
        <v>99</v>
      </c>
      <c r="I79" s="29" t="e">
        <f t="shared" ca="1" si="1"/>
        <v>#NAME?</v>
      </c>
      <c r="J79" s="36">
        <v>153</v>
      </c>
      <c r="K79" s="29" t="e">
        <f t="shared" ca="1" si="2"/>
        <v>#NAME?</v>
      </c>
      <c r="L79" s="36">
        <v>107</v>
      </c>
      <c r="M79" s="29" t="e">
        <f t="shared" ca="1" si="3"/>
        <v>#NAME?</v>
      </c>
      <c r="N79" s="37">
        <v>20</v>
      </c>
      <c r="O79" s="38">
        <v>41.67</v>
      </c>
      <c r="P79" s="38">
        <v>52.94</v>
      </c>
      <c r="Q79" s="38">
        <v>4.4400000000000004</v>
      </c>
      <c r="R79" s="38">
        <v>22.22</v>
      </c>
      <c r="S79" s="38">
        <v>0</v>
      </c>
      <c r="T79" s="39">
        <v>25.56</v>
      </c>
    </row>
    <row r="80" spans="2:20" ht="30.75" customHeight="1">
      <c r="B80" s="33" t="s">
        <v>28</v>
      </c>
      <c r="C80" s="34" t="s">
        <v>19</v>
      </c>
      <c r="D80" s="34" t="s">
        <v>43</v>
      </c>
      <c r="E80" s="35"/>
      <c r="F80" s="36">
        <v>198</v>
      </c>
      <c r="G80" s="28" t="e">
        <f t="shared" ca="1" si="0"/>
        <v>#NAME?</v>
      </c>
      <c r="H80" s="48">
        <v>215</v>
      </c>
      <c r="I80" s="29" t="e">
        <f t="shared" ca="1" si="1"/>
        <v>#NAME?</v>
      </c>
      <c r="J80" s="36">
        <v>154</v>
      </c>
      <c r="K80" s="29" t="e">
        <f t="shared" ca="1" si="2"/>
        <v>#NAME?</v>
      </c>
      <c r="L80" s="36">
        <v>211</v>
      </c>
      <c r="M80" s="29" t="e">
        <f t="shared" ca="1" si="3"/>
        <v>#NAME?</v>
      </c>
      <c r="N80" s="37">
        <v>16.63</v>
      </c>
      <c r="O80" s="38">
        <v>28.07</v>
      </c>
      <c r="P80" s="38">
        <v>29.41</v>
      </c>
      <c r="Q80" s="38">
        <v>24.44</v>
      </c>
      <c r="R80" s="38">
        <v>44.44</v>
      </c>
      <c r="S80" s="38">
        <v>0</v>
      </c>
      <c r="T80" s="39">
        <v>21.11</v>
      </c>
    </row>
    <row r="81" spans="1:20" ht="30.75" customHeight="1">
      <c r="A81" s="49"/>
      <c r="B81" s="33"/>
      <c r="C81" s="34"/>
      <c r="D81" s="34"/>
      <c r="E81" s="35"/>
      <c r="F81" s="36">
        <v>150</v>
      </c>
      <c r="G81" s="28" t="e">
        <f t="shared" ca="1" si="0"/>
        <v>#NAME?</v>
      </c>
      <c r="H81" s="36">
        <v>150</v>
      </c>
      <c r="I81" s="29" t="e">
        <f t="shared" ca="1" si="1"/>
        <v>#NAME?</v>
      </c>
      <c r="J81" s="36">
        <v>162</v>
      </c>
      <c r="K81" s="29" t="e">
        <f t="shared" ca="1" si="2"/>
        <v>#NAME?</v>
      </c>
      <c r="L81" s="36">
        <v>166</v>
      </c>
      <c r="M81" s="29" t="e">
        <f t="shared" ca="1" si="3"/>
        <v>#NAME?</v>
      </c>
      <c r="N81" s="37">
        <v>17.95</v>
      </c>
      <c r="O81" s="38">
        <v>29.82</v>
      </c>
      <c r="P81" s="38">
        <v>43.14</v>
      </c>
      <c r="Q81" s="38">
        <v>29.17</v>
      </c>
      <c r="R81" s="38">
        <v>25.93</v>
      </c>
      <c r="S81" s="38">
        <v>0</v>
      </c>
      <c r="T81" s="39">
        <v>0</v>
      </c>
    </row>
    <row r="82" spans="1:20" ht="30.75" customHeight="1">
      <c r="A82" s="49"/>
      <c r="B82" s="33"/>
      <c r="C82" s="34" t="s">
        <v>19</v>
      </c>
      <c r="D82" s="34" t="s">
        <v>48</v>
      </c>
      <c r="E82" s="35"/>
      <c r="F82" s="36">
        <v>186</v>
      </c>
      <c r="G82" s="28" t="e">
        <f t="shared" ca="1" si="0"/>
        <v>#NAME?</v>
      </c>
      <c r="H82" s="36">
        <v>181</v>
      </c>
      <c r="I82" s="29" t="e">
        <f t="shared" ca="1" si="1"/>
        <v>#NAME?</v>
      </c>
      <c r="J82" s="36">
        <v>164</v>
      </c>
      <c r="K82" s="29" t="e">
        <f t="shared" ca="1" si="2"/>
        <v>#NAME?</v>
      </c>
      <c r="L82" s="36">
        <v>201</v>
      </c>
      <c r="M82" s="29" t="e">
        <f t="shared" ca="1" si="3"/>
        <v>#NAME?</v>
      </c>
      <c r="N82" s="37">
        <v>17.48</v>
      </c>
      <c r="O82" s="38">
        <v>26.32</v>
      </c>
      <c r="P82" s="38">
        <v>39.22</v>
      </c>
      <c r="Q82" s="38">
        <v>20</v>
      </c>
      <c r="R82" s="38">
        <v>44.44</v>
      </c>
      <c r="S82" s="38">
        <v>0</v>
      </c>
      <c r="T82" s="39">
        <v>0</v>
      </c>
    </row>
    <row r="83" spans="1:20" ht="30.75" customHeight="1">
      <c r="A83" s="49"/>
      <c r="B83" s="50"/>
      <c r="C83" s="50" t="s">
        <v>33</v>
      </c>
      <c r="D83" s="50" t="s">
        <v>24</v>
      </c>
      <c r="E83" s="51" t="s">
        <v>49</v>
      </c>
      <c r="F83" s="43">
        <v>159</v>
      </c>
      <c r="G83" s="44" t="e">
        <f t="shared" ca="1" si="0"/>
        <v>#NAME?</v>
      </c>
      <c r="H83" s="43">
        <v>143</v>
      </c>
      <c r="I83" s="45" t="e">
        <f t="shared" ca="1" si="1"/>
        <v>#NAME?</v>
      </c>
      <c r="J83" s="43">
        <v>165</v>
      </c>
      <c r="K83" s="45" t="e">
        <f t="shared" ca="1" si="2"/>
        <v>#NAME?</v>
      </c>
      <c r="L83" s="43">
        <v>144</v>
      </c>
      <c r="M83" s="45" t="e">
        <f t="shared" ca="1" si="3"/>
        <v>#NAME?</v>
      </c>
      <c r="N83" s="37">
        <v>15.86</v>
      </c>
      <c r="O83" s="46">
        <v>43.33</v>
      </c>
      <c r="P83" s="46">
        <v>45.1</v>
      </c>
      <c r="Q83" s="46">
        <v>13.33</v>
      </c>
      <c r="R83" s="46">
        <v>40.74</v>
      </c>
      <c r="S83" s="46">
        <v>-3.5</v>
      </c>
      <c r="T83" s="47">
        <v>11.11</v>
      </c>
    </row>
    <row r="84" spans="1:20" ht="30.75" customHeight="1">
      <c r="A84" s="49"/>
      <c r="B84" s="50"/>
      <c r="C84" s="50" t="s">
        <v>29</v>
      </c>
      <c r="D84" s="50" t="s">
        <v>20</v>
      </c>
      <c r="E84" s="51" t="s">
        <v>50</v>
      </c>
      <c r="F84" s="43">
        <v>128</v>
      </c>
      <c r="G84" s="44" t="e">
        <f t="shared" ca="1" si="0"/>
        <v>#NAME?</v>
      </c>
      <c r="H84" s="43">
        <v>102</v>
      </c>
      <c r="I84" s="45" t="e">
        <f t="shared" ca="1" si="1"/>
        <v>#NAME?</v>
      </c>
      <c r="J84" s="43">
        <v>167</v>
      </c>
      <c r="K84" s="45" t="e">
        <f t="shared" ca="1" si="2"/>
        <v>#NAME?</v>
      </c>
      <c r="L84" s="43">
        <v>134</v>
      </c>
      <c r="M84" s="45" t="e">
        <f t="shared" ca="1" si="3"/>
        <v>#NAME?</v>
      </c>
      <c r="N84" s="37">
        <v>17.940000000000001</v>
      </c>
      <c r="O84" s="46">
        <v>28.07</v>
      </c>
      <c r="P84" s="46">
        <v>62.75</v>
      </c>
      <c r="Q84" s="46">
        <v>17.78</v>
      </c>
      <c r="R84" s="46">
        <v>29.63</v>
      </c>
      <c r="S84" s="46">
        <v>-1.74</v>
      </c>
      <c r="T84" s="47">
        <v>13.33</v>
      </c>
    </row>
    <row r="85" spans="1:20" ht="30.75" customHeight="1">
      <c r="A85" s="49"/>
      <c r="B85" s="52"/>
      <c r="C85" s="52" t="s">
        <v>30</v>
      </c>
      <c r="D85" s="52" t="s">
        <v>20</v>
      </c>
      <c r="E85" s="53"/>
      <c r="F85" s="36">
        <v>97</v>
      </c>
      <c r="G85" s="28" t="e">
        <f t="shared" ca="1" si="0"/>
        <v>#NAME?</v>
      </c>
      <c r="H85" s="36">
        <v>79</v>
      </c>
      <c r="I85" s="29" t="e">
        <f t="shared" ca="1" si="1"/>
        <v>#NAME?</v>
      </c>
      <c r="J85" s="36">
        <v>168</v>
      </c>
      <c r="K85" s="29" t="e">
        <f t="shared" ca="1" si="2"/>
        <v>#NAME?</v>
      </c>
      <c r="L85" s="36">
        <v>82</v>
      </c>
      <c r="M85" s="29" t="e">
        <f t="shared" ca="1" si="3"/>
        <v>#NAME?</v>
      </c>
      <c r="N85" s="37">
        <v>17.04</v>
      </c>
      <c r="O85" s="38">
        <v>51.67</v>
      </c>
      <c r="P85" s="38">
        <v>64.709999999999994</v>
      </c>
      <c r="Q85" s="38">
        <v>17.78</v>
      </c>
      <c r="R85" s="38">
        <v>-7.4</v>
      </c>
      <c r="S85" s="38">
        <v>0</v>
      </c>
      <c r="T85" s="39">
        <v>26.67</v>
      </c>
    </row>
    <row r="86" spans="1:20" ht="30.75" customHeight="1">
      <c r="A86" s="49"/>
      <c r="B86" s="52"/>
      <c r="C86" s="52"/>
      <c r="D86" s="52"/>
      <c r="E86" s="53"/>
      <c r="F86" s="36">
        <v>123</v>
      </c>
      <c r="G86" s="28" t="e">
        <f t="shared" ca="1" si="0"/>
        <v>#NAME?</v>
      </c>
      <c r="H86" s="36">
        <v>170</v>
      </c>
      <c r="I86" s="29" t="e">
        <f t="shared" ca="1" si="1"/>
        <v>#NAME?</v>
      </c>
      <c r="J86" s="36">
        <v>170</v>
      </c>
      <c r="K86" s="29" t="e">
        <f t="shared" ca="1" si="2"/>
        <v>#NAME?</v>
      </c>
      <c r="L86" s="36">
        <v>108</v>
      </c>
      <c r="M86" s="29" t="e">
        <f t="shared" ca="1" si="3"/>
        <v>#NAME?</v>
      </c>
      <c r="N86" s="37">
        <v>20</v>
      </c>
      <c r="O86" s="38">
        <v>40.35</v>
      </c>
      <c r="P86" s="38">
        <v>58.82</v>
      </c>
      <c r="Q86" s="38">
        <v>8.89</v>
      </c>
      <c r="R86" s="38">
        <v>14.81</v>
      </c>
      <c r="S86" s="38">
        <v>0</v>
      </c>
      <c r="T86" s="39">
        <v>10</v>
      </c>
    </row>
    <row r="87" spans="1:20" ht="30.75" customHeight="1">
      <c r="A87" s="49"/>
      <c r="B87" s="52"/>
      <c r="C87" s="52"/>
      <c r="D87" s="52"/>
      <c r="E87" s="53"/>
      <c r="F87" s="36">
        <v>137</v>
      </c>
      <c r="G87" s="28" t="e">
        <f t="shared" ca="1" si="0"/>
        <v>#NAME?</v>
      </c>
      <c r="H87" s="36">
        <v>109</v>
      </c>
      <c r="I87" s="29" t="e">
        <f t="shared" ca="1" si="1"/>
        <v>#NAME?</v>
      </c>
      <c r="J87" s="36">
        <v>176</v>
      </c>
      <c r="K87" s="29" t="e">
        <f t="shared" ca="1" si="2"/>
        <v>#NAME?</v>
      </c>
      <c r="L87" s="36">
        <v>143</v>
      </c>
      <c r="M87" s="29" t="e">
        <f t="shared" ca="1" si="3"/>
        <v>#NAME?</v>
      </c>
      <c r="N87" s="37">
        <v>19.78</v>
      </c>
      <c r="O87" s="38">
        <v>22.81</v>
      </c>
      <c r="P87" s="38">
        <v>58.82</v>
      </c>
      <c r="Q87" s="38">
        <v>13.33</v>
      </c>
      <c r="R87" s="38">
        <v>25.93</v>
      </c>
      <c r="S87" s="38">
        <v>3.51</v>
      </c>
      <c r="T87" s="39">
        <v>6.67</v>
      </c>
    </row>
    <row r="88" spans="1:20" ht="30.75" customHeight="1">
      <c r="A88" s="49"/>
      <c r="B88" s="52"/>
      <c r="C88" s="52" t="s">
        <v>30</v>
      </c>
      <c r="D88" s="52" t="s">
        <v>20</v>
      </c>
      <c r="E88" s="53"/>
      <c r="F88" s="36">
        <v>166</v>
      </c>
      <c r="G88" s="28" t="e">
        <f t="shared" ca="1" si="0"/>
        <v>#NAME?</v>
      </c>
      <c r="H88" s="36">
        <v>128</v>
      </c>
      <c r="I88" s="29" t="e">
        <f t="shared" ca="1" si="1"/>
        <v>#NAME?</v>
      </c>
      <c r="J88" s="36">
        <v>178</v>
      </c>
      <c r="K88" s="29" t="e">
        <f t="shared" ca="1" si="2"/>
        <v>#NAME?</v>
      </c>
      <c r="L88" s="36">
        <v>141</v>
      </c>
      <c r="M88" s="29" t="e">
        <f t="shared" ca="1" si="3"/>
        <v>#NAME?</v>
      </c>
      <c r="N88" s="37">
        <v>16.2</v>
      </c>
      <c r="O88" s="38">
        <v>38.6</v>
      </c>
      <c r="P88" s="38">
        <v>52.94</v>
      </c>
      <c r="Q88" s="38">
        <v>4.4400000000000004</v>
      </c>
      <c r="R88" s="38">
        <v>40.74</v>
      </c>
      <c r="S88" s="38">
        <v>0</v>
      </c>
      <c r="T88" s="39">
        <v>3.33</v>
      </c>
    </row>
    <row r="89" spans="1:20" ht="30.75" customHeight="1">
      <c r="A89" s="49"/>
      <c r="B89" s="52"/>
      <c r="C89" s="52"/>
      <c r="D89" s="52"/>
      <c r="E89" s="53"/>
      <c r="F89" s="36">
        <v>143</v>
      </c>
      <c r="G89" s="28" t="e">
        <f t="shared" ca="1" si="0"/>
        <v>#NAME?</v>
      </c>
      <c r="H89" s="36">
        <v>140</v>
      </c>
      <c r="I89" s="29" t="e">
        <f t="shared" ca="1" si="1"/>
        <v>#NAME?</v>
      </c>
      <c r="J89" s="36">
        <v>185</v>
      </c>
      <c r="K89" s="29" t="e">
        <f t="shared" ca="1" si="2"/>
        <v>#NAME?</v>
      </c>
      <c r="L89" s="36">
        <v>180</v>
      </c>
      <c r="M89" s="29" t="e">
        <f t="shared" ca="1" si="3"/>
        <v>#NAME?</v>
      </c>
      <c r="N89" s="37">
        <v>17.41</v>
      </c>
      <c r="O89" s="38">
        <v>22.81</v>
      </c>
      <c r="P89" s="38">
        <v>49.02</v>
      </c>
      <c r="Q89" s="38">
        <v>33.33</v>
      </c>
      <c r="R89" s="38">
        <v>14.81</v>
      </c>
      <c r="S89" s="38">
        <v>0</v>
      </c>
      <c r="T89" s="39">
        <v>25.56</v>
      </c>
    </row>
    <row r="90" spans="1:20" ht="30.75" customHeight="1">
      <c r="A90" s="49"/>
      <c r="B90" s="52" t="s">
        <v>28</v>
      </c>
      <c r="C90" s="52" t="s">
        <v>29</v>
      </c>
      <c r="D90" s="52" t="s">
        <v>38</v>
      </c>
      <c r="E90" s="53"/>
      <c r="F90" s="36">
        <v>171</v>
      </c>
      <c r="G90" s="28" t="e">
        <f t="shared" ca="1" si="0"/>
        <v>#NAME?</v>
      </c>
      <c r="H90" s="36">
        <v>169</v>
      </c>
      <c r="I90" s="29" t="e">
        <f t="shared" ca="1" si="1"/>
        <v>#NAME?</v>
      </c>
      <c r="J90" s="36">
        <v>187</v>
      </c>
      <c r="K90" s="29" t="e">
        <f t="shared" ca="1" si="2"/>
        <v>#NAME?</v>
      </c>
      <c r="L90" s="36">
        <v>188</v>
      </c>
      <c r="M90" s="29" t="e">
        <f t="shared" ca="1" si="3"/>
        <v>#NAME?</v>
      </c>
      <c r="N90" s="37">
        <v>16.55</v>
      </c>
      <c r="O90" s="38">
        <v>29.82</v>
      </c>
      <c r="P90" s="38">
        <v>39.22</v>
      </c>
      <c r="Q90" s="38">
        <v>24.44</v>
      </c>
      <c r="R90" s="38">
        <v>22.22</v>
      </c>
      <c r="S90" s="38">
        <v>15.79</v>
      </c>
      <c r="T90" s="39">
        <v>0</v>
      </c>
    </row>
    <row r="91" spans="1:20" ht="30.75" customHeight="1">
      <c r="A91" s="49"/>
      <c r="B91" s="50"/>
      <c r="C91" s="50"/>
      <c r="D91" s="50"/>
      <c r="E91" s="51" t="s">
        <v>51</v>
      </c>
      <c r="F91" s="43">
        <v>162</v>
      </c>
      <c r="G91" s="44" t="e">
        <f t="shared" ca="1" si="0"/>
        <v>#NAME?</v>
      </c>
      <c r="H91" s="43">
        <v>126</v>
      </c>
      <c r="I91" s="45" t="e">
        <f t="shared" ca="1" si="1"/>
        <v>#NAME?</v>
      </c>
      <c r="J91" s="43">
        <v>191</v>
      </c>
      <c r="K91" s="45" t="e">
        <f t="shared" ca="1" si="2"/>
        <v>#NAME?</v>
      </c>
      <c r="L91" s="43">
        <v>140</v>
      </c>
      <c r="M91" s="45" t="e">
        <f t="shared" ca="1" si="3"/>
        <v>#NAME?</v>
      </c>
      <c r="N91" s="37">
        <v>19.04</v>
      </c>
      <c r="O91" s="46">
        <v>42.11</v>
      </c>
      <c r="P91" s="46">
        <v>52.94</v>
      </c>
      <c r="Q91" s="46">
        <v>4.4400000000000004</v>
      </c>
      <c r="R91" s="46">
        <v>29.63</v>
      </c>
      <c r="S91" s="46">
        <v>0</v>
      </c>
      <c r="T91" s="47">
        <v>0</v>
      </c>
    </row>
    <row r="92" spans="1:20" ht="30.75" customHeight="1">
      <c r="A92" s="49"/>
      <c r="B92" s="52"/>
      <c r="C92" s="52" t="s">
        <v>29</v>
      </c>
      <c r="D92" s="52" t="s">
        <v>38</v>
      </c>
      <c r="E92" s="53"/>
      <c r="F92" s="36">
        <v>173</v>
      </c>
      <c r="G92" s="28" t="e">
        <f t="shared" ca="1" si="0"/>
        <v>#NAME?</v>
      </c>
      <c r="H92" s="36">
        <v>153</v>
      </c>
      <c r="I92" s="29" t="e">
        <f t="shared" ca="1" si="1"/>
        <v>#NAME?</v>
      </c>
      <c r="J92" s="36">
        <v>191</v>
      </c>
      <c r="K92" s="29" t="e">
        <f t="shared" ca="1" si="2"/>
        <v>#NAME?</v>
      </c>
      <c r="L92" s="36">
        <v>149</v>
      </c>
      <c r="M92" s="29" t="e">
        <f t="shared" ca="1" si="3"/>
        <v>#NAME?</v>
      </c>
      <c r="N92" s="37">
        <v>17.91</v>
      </c>
      <c r="O92" s="38">
        <v>42.11</v>
      </c>
      <c r="P92" s="38">
        <v>43.14</v>
      </c>
      <c r="Q92" s="38">
        <v>13.33</v>
      </c>
      <c r="R92" s="38">
        <v>25.93</v>
      </c>
      <c r="S92" s="38">
        <v>0</v>
      </c>
      <c r="T92" s="39">
        <v>0</v>
      </c>
    </row>
    <row r="93" spans="1:20" ht="30.75" customHeight="1">
      <c r="A93" s="49"/>
      <c r="B93" s="52" t="s">
        <v>28</v>
      </c>
      <c r="C93" s="52" t="s">
        <v>30</v>
      </c>
      <c r="D93" s="52" t="s">
        <v>27</v>
      </c>
      <c r="E93" s="53"/>
      <c r="F93" s="36">
        <v>190</v>
      </c>
      <c r="G93" s="28" t="e">
        <f t="shared" ca="1" si="0"/>
        <v>#NAME?</v>
      </c>
      <c r="H93" s="36">
        <v>193</v>
      </c>
      <c r="I93" s="29" t="e">
        <f t="shared" ca="1" si="1"/>
        <v>#NAME?</v>
      </c>
      <c r="J93" s="36">
        <v>192</v>
      </c>
      <c r="K93" s="29" t="e">
        <f t="shared" ca="1" si="2"/>
        <v>#NAME?</v>
      </c>
      <c r="L93" s="36">
        <v>195</v>
      </c>
      <c r="M93" s="29" t="e">
        <f t="shared" ca="1" si="3"/>
        <v>#NAME?</v>
      </c>
      <c r="N93" s="37">
        <v>18.29</v>
      </c>
      <c r="O93" s="38">
        <v>33.33</v>
      </c>
      <c r="P93" s="38">
        <v>35.29</v>
      </c>
      <c r="Q93" s="38">
        <v>20</v>
      </c>
      <c r="R93" s="38">
        <v>25.93</v>
      </c>
      <c r="S93" s="38">
        <v>-5.25</v>
      </c>
      <c r="T93" s="39">
        <v>27.78</v>
      </c>
    </row>
    <row r="94" spans="1:20" ht="30.75" customHeight="1">
      <c r="A94" s="49"/>
      <c r="B94" s="52"/>
      <c r="C94" s="52" t="s">
        <v>30</v>
      </c>
      <c r="D94" s="52" t="s">
        <v>20</v>
      </c>
      <c r="E94" s="53"/>
      <c r="F94" s="36">
        <v>200</v>
      </c>
      <c r="G94" s="28" t="e">
        <f t="shared" ca="1" si="0"/>
        <v>#NAME?</v>
      </c>
      <c r="H94" s="36">
        <v>170</v>
      </c>
      <c r="I94" s="29" t="e">
        <f t="shared" ca="1" si="1"/>
        <v>#NAME?</v>
      </c>
      <c r="J94" s="36">
        <v>194</v>
      </c>
      <c r="K94" s="29" t="e">
        <f t="shared" ca="1" si="2"/>
        <v>#NAME?</v>
      </c>
      <c r="L94" s="36">
        <v>167</v>
      </c>
      <c r="M94" s="29" t="e">
        <f t="shared" ca="1" si="3"/>
        <v>#NAME?</v>
      </c>
      <c r="N94" s="37">
        <v>15.58</v>
      </c>
      <c r="O94" s="38">
        <v>42.11</v>
      </c>
      <c r="P94" s="38">
        <v>41.18</v>
      </c>
      <c r="Q94" s="38">
        <v>13.33</v>
      </c>
      <c r="R94" s="38">
        <v>33.33</v>
      </c>
      <c r="S94" s="38">
        <v>0</v>
      </c>
      <c r="T94" s="39">
        <v>0</v>
      </c>
    </row>
    <row r="95" spans="1:20" ht="30.75" customHeight="1">
      <c r="A95" s="49"/>
      <c r="B95" s="52" t="s">
        <v>28</v>
      </c>
      <c r="C95" s="52" t="s">
        <v>29</v>
      </c>
      <c r="D95" s="52" t="s">
        <v>52</v>
      </c>
      <c r="E95" s="53"/>
      <c r="F95" s="36">
        <v>251</v>
      </c>
      <c r="G95" s="28" t="e">
        <f t="shared" ca="1" si="0"/>
        <v>#NAME?</v>
      </c>
      <c r="H95" s="36">
        <v>268</v>
      </c>
      <c r="I95" s="29" t="e">
        <f t="shared" ca="1" si="1"/>
        <v>#NAME?</v>
      </c>
      <c r="J95" s="36">
        <v>197</v>
      </c>
      <c r="K95" s="29" t="e">
        <f t="shared" ca="1" si="2"/>
        <v>#NAME?</v>
      </c>
      <c r="L95" s="36">
        <v>233</v>
      </c>
      <c r="M95" s="29" t="e">
        <f t="shared" ca="1" si="3"/>
        <v>#NAME?</v>
      </c>
      <c r="N95" s="37">
        <v>15.13</v>
      </c>
      <c r="O95" s="38">
        <v>40</v>
      </c>
      <c r="P95" s="38">
        <v>23.53</v>
      </c>
      <c r="Q95" s="38">
        <v>22.92</v>
      </c>
      <c r="R95" s="38">
        <v>40.74</v>
      </c>
      <c r="S95" s="38">
        <v>0</v>
      </c>
      <c r="T95" s="39">
        <v>0</v>
      </c>
    </row>
    <row r="96" spans="1:20" ht="30.75" customHeight="1">
      <c r="A96" s="49"/>
      <c r="B96" s="52"/>
      <c r="C96" s="52"/>
      <c r="D96" s="52"/>
      <c r="E96" s="53"/>
      <c r="F96" s="36">
        <v>204</v>
      </c>
      <c r="G96" s="28" t="e">
        <f t="shared" ca="1" si="0"/>
        <v>#NAME?</v>
      </c>
      <c r="H96" s="36">
        <v>163</v>
      </c>
      <c r="I96" s="29" t="e">
        <f t="shared" ca="1" si="1"/>
        <v>#NAME?</v>
      </c>
      <c r="J96" s="36">
        <v>198</v>
      </c>
      <c r="K96" s="29" t="e">
        <f t="shared" ca="1" si="2"/>
        <v>#NAME?</v>
      </c>
      <c r="L96" s="36">
        <v>222</v>
      </c>
      <c r="M96" s="29" t="e">
        <f t="shared" ca="1" si="3"/>
        <v>#NAME?</v>
      </c>
      <c r="N96" s="37">
        <v>15.48</v>
      </c>
      <c r="O96" s="38">
        <v>15.79</v>
      </c>
      <c r="P96" s="38">
        <v>49.02</v>
      </c>
      <c r="Q96" s="38">
        <v>12.5</v>
      </c>
      <c r="R96" s="38">
        <v>44.44</v>
      </c>
      <c r="S96" s="38">
        <v>5.26</v>
      </c>
      <c r="T96" s="39">
        <v>24.44</v>
      </c>
    </row>
    <row r="97" spans="1:20" ht="30.75" customHeight="1">
      <c r="A97" s="49"/>
      <c r="B97" s="52"/>
      <c r="C97" s="52"/>
      <c r="D97" s="52"/>
      <c r="E97" s="53"/>
      <c r="F97" s="36">
        <v>145</v>
      </c>
      <c r="G97" s="28" t="e">
        <f t="shared" ca="1" si="0"/>
        <v>#NAME?</v>
      </c>
      <c r="H97" s="36">
        <v>154</v>
      </c>
      <c r="I97" s="29" t="e">
        <f t="shared" ca="1" si="1"/>
        <v>#NAME?</v>
      </c>
      <c r="J97" s="36">
        <v>199</v>
      </c>
      <c r="K97" s="29" t="e">
        <f t="shared" ca="1" si="2"/>
        <v>#NAME?</v>
      </c>
      <c r="L97" s="36">
        <v>199</v>
      </c>
      <c r="M97" s="29" t="e">
        <f t="shared" ca="1" si="3"/>
        <v>#NAME?</v>
      </c>
      <c r="N97" s="37" t="s">
        <v>22</v>
      </c>
      <c r="O97" s="38">
        <v>21.05</v>
      </c>
      <c r="P97" s="38">
        <v>49.02</v>
      </c>
      <c r="Q97" s="38">
        <v>42.22</v>
      </c>
      <c r="R97" s="38">
        <v>11.11</v>
      </c>
      <c r="S97" s="38">
        <v>5.26</v>
      </c>
      <c r="T97" s="39">
        <v>42.22</v>
      </c>
    </row>
    <row r="98" spans="1:20" ht="30.75" customHeight="1">
      <c r="A98" s="49"/>
      <c r="B98" s="52" t="s">
        <v>28</v>
      </c>
      <c r="C98" s="52" t="s">
        <v>31</v>
      </c>
      <c r="D98" s="52" t="s">
        <v>38</v>
      </c>
      <c r="E98" s="53"/>
      <c r="F98" s="36">
        <v>196</v>
      </c>
      <c r="G98" s="28" t="e">
        <f t="shared" ca="1" si="0"/>
        <v>#NAME?</v>
      </c>
      <c r="H98" s="36">
        <v>172</v>
      </c>
      <c r="I98" s="29" t="e">
        <f t="shared" ca="1" si="1"/>
        <v>#NAME?</v>
      </c>
      <c r="J98" s="36">
        <v>199</v>
      </c>
      <c r="K98" s="29" t="e">
        <f t="shared" ca="1" si="2"/>
        <v>#NAME?</v>
      </c>
      <c r="L98" s="36">
        <v>148</v>
      </c>
      <c r="M98" s="29" t="e">
        <f t="shared" ca="1" si="3"/>
        <v>#NAME?</v>
      </c>
      <c r="N98" s="37" t="s">
        <v>22</v>
      </c>
      <c r="O98" s="38">
        <v>50</v>
      </c>
      <c r="P98" s="38">
        <v>37.25</v>
      </c>
      <c r="Q98" s="38">
        <v>9.8000000000000007</v>
      </c>
      <c r="R98" s="38">
        <v>25.93</v>
      </c>
      <c r="S98" s="38">
        <v>-1.74</v>
      </c>
      <c r="T98" s="39">
        <v>0</v>
      </c>
    </row>
    <row r="99" spans="1:20" ht="30.75" customHeight="1">
      <c r="A99" s="49"/>
      <c r="B99" s="52"/>
      <c r="C99" s="52"/>
      <c r="D99" s="52"/>
      <c r="E99" s="53"/>
      <c r="F99" s="36">
        <v>187</v>
      </c>
      <c r="G99" s="28" t="e">
        <f t="shared" ca="1" si="0"/>
        <v>#NAME?</v>
      </c>
      <c r="H99" s="36">
        <v>178</v>
      </c>
      <c r="I99" s="29" t="e">
        <f t="shared" ca="1" si="1"/>
        <v>#NAME?</v>
      </c>
      <c r="J99" s="36">
        <v>201</v>
      </c>
      <c r="K99" s="29" t="e">
        <f t="shared" ca="1" si="2"/>
        <v>#NAME?</v>
      </c>
      <c r="L99" s="36">
        <v>189</v>
      </c>
      <c r="M99" s="29" t="e">
        <f t="shared" ca="1" si="3"/>
        <v>#NAME?</v>
      </c>
      <c r="N99" s="37">
        <v>17.8</v>
      </c>
      <c r="O99" s="38">
        <v>33.33</v>
      </c>
      <c r="P99" s="38">
        <v>39.22</v>
      </c>
      <c r="Q99" s="38">
        <v>17.78</v>
      </c>
      <c r="R99" s="38">
        <v>25.93</v>
      </c>
      <c r="S99" s="38">
        <v>0</v>
      </c>
      <c r="T99" s="39">
        <v>22.22</v>
      </c>
    </row>
    <row r="100" spans="1:20" ht="30.75" customHeight="1">
      <c r="A100" s="49"/>
      <c r="B100" s="52" t="s">
        <v>28</v>
      </c>
      <c r="C100" s="52" t="s">
        <v>19</v>
      </c>
      <c r="D100" s="52" t="s">
        <v>53</v>
      </c>
      <c r="E100" s="53"/>
      <c r="F100" s="36">
        <v>242</v>
      </c>
      <c r="G100" s="28" t="e">
        <f t="shared" ca="1" si="0"/>
        <v>#NAME?</v>
      </c>
      <c r="H100" s="36">
        <v>285</v>
      </c>
      <c r="I100" s="29" t="e">
        <f t="shared" ca="1" si="1"/>
        <v>#NAME?</v>
      </c>
      <c r="J100" s="36">
        <v>205</v>
      </c>
      <c r="K100" s="29" t="e">
        <f t="shared" ca="1" si="2"/>
        <v>#NAME?</v>
      </c>
      <c r="L100" s="36">
        <v>342</v>
      </c>
      <c r="M100" s="29" t="e">
        <f t="shared" ca="1" si="3"/>
        <v>#NAME?</v>
      </c>
      <c r="N100" s="37">
        <v>16.079999999999998</v>
      </c>
      <c r="O100" s="38">
        <v>0</v>
      </c>
      <c r="P100" s="38">
        <v>21.57</v>
      </c>
      <c r="Q100" s="38">
        <v>31.42</v>
      </c>
      <c r="R100" s="38">
        <v>29.43</v>
      </c>
      <c r="S100" s="38">
        <v>31.58</v>
      </c>
      <c r="T100" s="39">
        <v>41.11</v>
      </c>
    </row>
    <row r="101" spans="1:20" ht="30.75" customHeight="1">
      <c r="A101" s="49"/>
      <c r="B101" s="52"/>
      <c r="C101" s="52"/>
      <c r="D101" s="52"/>
      <c r="E101" s="53"/>
      <c r="F101" s="36">
        <v>361</v>
      </c>
      <c r="G101" s="28" t="e">
        <f t="shared" ca="1" si="0"/>
        <v>#NAME?</v>
      </c>
      <c r="H101" s="36">
        <v>499</v>
      </c>
      <c r="I101" s="29" t="e">
        <f t="shared" ca="1" si="1"/>
        <v>#NAME?</v>
      </c>
      <c r="J101" s="36">
        <v>207</v>
      </c>
      <c r="K101" s="29" t="e">
        <f t="shared" ca="1" si="2"/>
        <v>#NAME?</v>
      </c>
      <c r="L101" s="36">
        <v>496</v>
      </c>
      <c r="M101" s="29" t="e">
        <f t="shared" ca="1" si="3"/>
        <v>#NAME?</v>
      </c>
      <c r="N101" s="37">
        <v>19.559999999999999</v>
      </c>
      <c r="O101" s="38">
        <v>0</v>
      </c>
      <c r="P101" s="38">
        <v>0</v>
      </c>
      <c r="Q101" s="38">
        <v>31.25</v>
      </c>
      <c r="R101" s="38">
        <v>55.56</v>
      </c>
      <c r="S101" s="38">
        <v>3.51</v>
      </c>
      <c r="T101" s="39">
        <v>50</v>
      </c>
    </row>
    <row r="102" spans="1:20" ht="30.75" customHeight="1">
      <c r="A102" s="49"/>
      <c r="B102" s="52" t="s">
        <v>36</v>
      </c>
      <c r="C102" s="52" t="s">
        <v>19</v>
      </c>
      <c r="D102" s="52" t="s">
        <v>44</v>
      </c>
      <c r="E102" s="53"/>
      <c r="F102" s="36">
        <v>316</v>
      </c>
      <c r="G102" s="28" t="e">
        <f t="shared" ca="1" si="0"/>
        <v>#NAME?</v>
      </c>
      <c r="H102" s="36">
        <v>314</v>
      </c>
      <c r="I102" s="29" t="e">
        <f t="shared" ca="1" si="1"/>
        <v>#NAME?</v>
      </c>
      <c r="J102" s="36">
        <v>212</v>
      </c>
      <c r="K102" s="29" t="e">
        <f t="shared" ca="1" si="2"/>
        <v>#NAME?</v>
      </c>
      <c r="L102" s="36">
        <v>311</v>
      </c>
      <c r="M102" s="29" t="e">
        <f t="shared" ca="1" si="3"/>
        <v>#NAME?</v>
      </c>
      <c r="N102" s="37">
        <v>15.52</v>
      </c>
      <c r="O102" s="38">
        <v>24.56</v>
      </c>
      <c r="P102" s="38">
        <v>21.57</v>
      </c>
      <c r="Q102" s="38">
        <v>13.33</v>
      </c>
      <c r="R102" s="38">
        <v>55.56</v>
      </c>
      <c r="S102" s="38">
        <v>12.28</v>
      </c>
      <c r="T102" s="39">
        <v>0</v>
      </c>
    </row>
    <row r="103" spans="1:20" ht="30.75" customHeight="1">
      <c r="A103" s="49"/>
      <c r="B103" s="52"/>
      <c r="C103" s="52"/>
      <c r="D103" s="52"/>
      <c r="E103" s="53"/>
      <c r="F103" s="36">
        <v>209</v>
      </c>
      <c r="G103" s="28" t="e">
        <f t="shared" ca="1" si="0"/>
        <v>#NAME?</v>
      </c>
      <c r="H103" s="36">
        <v>175</v>
      </c>
      <c r="I103" s="29" t="e">
        <f t="shared" ca="1" si="1"/>
        <v>#NAME?</v>
      </c>
      <c r="J103" s="36">
        <v>214</v>
      </c>
      <c r="K103" s="29" t="e">
        <f t="shared" ca="1" si="2"/>
        <v>#NAME?</v>
      </c>
      <c r="L103" s="36">
        <v>196</v>
      </c>
      <c r="M103" s="29" t="e">
        <f t="shared" ca="1" si="3"/>
        <v>#NAME?</v>
      </c>
      <c r="N103" s="37">
        <v>20</v>
      </c>
      <c r="O103" s="38">
        <v>31.58</v>
      </c>
      <c r="P103" s="38">
        <v>43.14</v>
      </c>
      <c r="Q103" s="38">
        <v>8.89</v>
      </c>
      <c r="R103" s="38">
        <v>29.63</v>
      </c>
      <c r="S103" s="38">
        <v>0</v>
      </c>
      <c r="T103" s="39">
        <v>0</v>
      </c>
    </row>
    <row r="104" spans="1:20" ht="30.75" customHeight="1">
      <c r="A104" s="49"/>
      <c r="B104" s="52" t="s">
        <v>28</v>
      </c>
      <c r="C104" s="52" t="s">
        <v>29</v>
      </c>
      <c r="D104" s="52" t="s">
        <v>44</v>
      </c>
      <c r="E104" s="53"/>
      <c r="F104" s="36">
        <v>243</v>
      </c>
      <c r="G104" s="28" t="e">
        <f t="shared" ca="1" si="0"/>
        <v>#NAME?</v>
      </c>
      <c r="H104" s="36">
        <v>239</v>
      </c>
      <c r="I104" s="29" t="e">
        <f t="shared" ca="1" si="1"/>
        <v>#NAME?</v>
      </c>
      <c r="J104" s="36">
        <v>217</v>
      </c>
      <c r="K104" s="29" t="e">
        <f t="shared" ca="1" si="2"/>
        <v>#NAME?</v>
      </c>
      <c r="L104" s="36">
        <v>229</v>
      </c>
      <c r="M104" s="29" t="e">
        <f t="shared" ca="1" si="3"/>
        <v>#NAME?</v>
      </c>
      <c r="N104" s="37" t="s">
        <v>22</v>
      </c>
      <c r="O104" s="38">
        <v>35.090000000000003</v>
      </c>
      <c r="P104" s="38">
        <v>33.33</v>
      </c>
      <c r="Q104" s="38">
        <v>20</v>
      </c>
      <c r="R104" s="38">
        <v>33.33</v>
      </c>
      <c r="S104" s="38">
        <v>0</v>
      </c>
      <c r="T104" s="39">
        <v>8.89</v>
      </c>
    </row>
    <row r="105" spans="1:20" ht="30.75" customHeight="1">
      <c r="A105" s="49"/>
      <c r="B105" s="50" t="s">
        <v>28</v>
      </c>
      <c r="C105" s="50" t="s">
        <v>19</v>
      </c>
      <c r="D105" s="50" t="s">
        <v>38</v>
      </c>
      <c r="E105" s="51" t="s">
        <v>54</v>
      </c>
      <c r="F105" s="43">
        <v>155</v>
      </c>
      <c r="G105" s="44" t="e">
        <f t="shared" ca="1" si="0"/>
        <v>#NAME?</v>
      </c>
      <c r="H105" s="43">
        <v>129</v>
      </c>
      <c r="I105" s="45" t="e">
        <f t="shared" ca="1" si="1"/>
        <v>#NAME?</v>
      </c>
      <c r="J105" s="43">
        <v>218</v>
      </c>
      <c r="K105" s="45" t="e">
        <f t="shared" ca="1" si="2"/>
        <v>#NAME?</v>
      </c>
      <c r="L105" s="43">
        <v>128</v>
      </c>
      <c r="M105" s="45" t="e">
        <f t="shared" ca="1" si="3"/>
        <v>#NAME?</v>
      </c>
      <c r="N105" s="37">
        <v>18.03</v>
      </c>
      <c r="O105" s="46">
        <v>49.12</v>
      </c>
      <c r="P105" s="46">
        <v>50.98</v>
      </c>
      <c r="Q105" s="46">
        <v>11.11</v>
      </c>
      <c r="R105" s="46">
        <v>7.41</v>
      </c>
      <c r="S105" s="46">
        <v>-1.74</v>
      </c>
      <c r="T105" s="47">
        <v>28.89</v>
      </c>
    </row>
    <row r="106" spans="1:20" ht="30.75" customHeight="1">
      <c r="A106" s="49"/>
      <c r="B106" s="52"/>
      <c r="C106" s="52"/>
      <c r="D106" s="52"/>
      <c r="E106" s="53"/>
      <c r="F106" s="36">
        <v>159</v>
      </c>
      <c r="G106" s="28" t="e">
        <f t="shared" ca="1" si="0"/>
        <v>#NAME?</v>
      </c>
      <c r="H106" s="36">
        <v>133</v>
      </c>
      <c r="I106" s="29" t="e">
        <f t="shared" ca="1" si="1"/>
        <v>#NAME?</v>
      </c>
      <c r="J106" s="36">
        <v>223</v>
      </c>
      <c r="K106" s="29" t="e">
        <f t="shared" ca="1" si="2"/>
        <v>#NAME?</v>
      </c>
      <c r="L106" s="36">
        <v>147</v>
      </c>
      <c r="M106" s="29" t="e">
        <f t="shared" ca="1" si="3"/>
        <v>#NAME?</v>
      </c>
      <c r="N106" s="37">
        <v>15.86</v>
      </c>
      <c r="O106" s="38">
        <v>41.67</v>
      </c>
      <c r="P106" s="38">
        <v>54.9</v>
      </c>
      <c r="Q106" s="38">
        <v>20</v>
      </c>
      <c r="R106" s="38">
        <v>11.11</v>
      </c>
      <c r="S106" s="38">
        <v>0</v>
      </c>
      <c r="T106" s="39">
        <v>0</v>
      </c>
    </row>
    <row r="107" spans="1:20" ht="30.75" customHeight="1">
      <c r="A107" s="49"/>
      <c r="B107" s="52"/>
      <c r="C107" s="52" t="s">
        <v>30</v>
      </c>
      <c r="D107" s="52" t="s">
        <v>38</v>
      </c>
      <c r="E107" s="53"/>
      <c r="F107" s="36">
        <v>269</v>
      </c>
      <c r="G107" s="28" t="e">
        <f t="shared" ca="1" si="0"/>
        <v>#NAME?</v>
      </c>
      <c r="H107" s="36">
        <v>238</v>
      </c>
      <c r="I107" s="29" t="e">
        <f t="shared" ca="1" si="1"/>
        <v>#NAME?</v>
      </c>
      <c r="J107" s="36">
        <v>228</v>
      </c>
      <c r="K107" s="29" t="e">
        <f t="shared" ca="1" si="2"/>
        <v>#NAME?</v>
      </c>
      <c r="L107" s="36">
        <v>220</v>
      </c>
      <c r="M107" s="29" t="e">
        <f t="shared" ca="1" si="3"/>
        <v>#NAME?</v>
      </c>
      <c r="N107" s="37">
        <v>18.36</v>
      </c>
      <c r="O107" s="38">
        <v>38.33</v>
      </c>
      <c r="P107" s="38">
        <v>33.33</v>
      </c>
      <c r="Q107" s="38">
        <v>2.2200000000000002</v>
      </c>
      <c r="R107" s="38">
        <v>40.74</v>
      </c>
      <c r="S107" s="38">
        <v>0</v>
      </c>
      <c r="T107" s="39">
        <v>0</v>
      </c>
    </row>
    <row r="108" spans="1:20" ht="30.75" customHeight="1">
      <c r="A108" s="49"/>
      <c r="B108" s="50" t="s">
        <v>28</v>
      </c>
      <c r="C108" s="50" t="s">
        <v>29</v>
      </c>
      <c r="D108" s="50" t="s">
        <v>27</v>
      </c>
      <c r="E108" s="51" t="s">
        <v>55</v>
      </c>
      <c r="F108" s="43">
        <v>226</v>
      </c>
      <c r="G108" s="44" t="e">
        <f t="shared" ca="1" si="0"/>
        <v>#NAME?</v>
      </c>
      <c r="H108" s="43">
        <v>238</v>
      </c>
      <c r="I108" s="45" t="e">
        <f t="shared" ca="1" si="1"/>
        <v>#NAME?</v>
      </c>
      <c r="J108" s="43">
        <v>229</v>
      </c>
      <c r="K108" s="45" t="e">
        <f t="shared" ca="1" si="2"/>
        <v>#NAME?</v>
      </c>
      <c r="L108" s="43">
        <v>231</v>
      </c>
      <c r="M108" s="45" t="e">
        <f t="shared" ca="1" si="3"/>
        <v>#NAME?</v>
      </c>
      <c r="N108" s="37">
        <v>15.24</v>
      </c>
      <c r="O108" s="46">
        <v>35</v>
      </c>
      <c r="P108" s="46">
        <v>33.33</v>
      </c>
      <c r="Q108" s="46">
        <v>24.44</v>
      </c>
      <c r="R108" s="46">
        <v>22.22</v>
      </c>
      <c r="S108" s="46">
        <v>10.53</v>
      </c>
      <c r="T108" s="47">
        <v>22.22</v>
      </c>
    </row>
    <row r="109" spans="1:20" ht="30.75" customHeight="1">
      <c r="A109" s="49"/>
      <c r="B109" s="50" t="s">
        <v>28</v>
      </c>
      <c r="C109" s="50" t="s">
        <v>19</v>
      </c>
      <c r="D109" s="50" t="s">
        <v>38</v>
      </c>
      <c r="E109" s="51" t="s">
        <v>56</v>
      </c>
      <c r="F109" s="43">
        <v>224</v>
      </c>
      <c r="G109" s="44" t="e">
        <f t="shared" ca="1" si="0"/>
        <v>#NAME?</v>
      </c>
      <c r="H109" s="43">
        <v>194</v>
      </c>
      <c r="I109" s="45" t="e">
        <f t="shared" ca="1" si="1"/>
        <v>#NAME?</v>
      </c>
      <c r="J109" s="43">
        <v>231</v>
      </c>
      <c r="K109" s="45" t="e">
        <f t="shared" ca="1" si="2"/>
        <v>#NAME?</v>
      </c>
      <c r="L109" s="43">
        <v>232</v>
      </c>
      <c r="M109" s="45" t="e">
        <f t="shared" ca="1" si="3"/>
        <v>#NAME?</v>
      </c>
      <c r="N109" s="37">
        <v>16.899999999999999</v>
      </c>
      <c r="O109" s="46">
        <v>28.07</v>
      </c>
      <c r="P109" s="46">
        <v>45.1</v>
      </c>
      <c r="Q109" s="46">
        <v>17.78</v>
      </c>
      <c r="R109" s="46">
        <v>33.33</v>
      </c>
      <c r="S109" s="46">
        <v>0</v>
      </c>
      <c r="T109" s="47">
        <v>11.11</v>
      </c>
    </row>
    <row r="110" spans="1:20" ht="30.75" customHeight="1">
      <c r="A110" s="49"/>
      <c r="B110" s="52" t="s">
        <v>28</v>
      </c>
      <c r="C110" s="52" t="s">
        <v>30</v>
      </c>
      <c r="D110" s="52" t="s">
        <v>27</v>
      </c>
      <c r="E110" s="53"/>
      <c r="F110" s="36">
        <v>214</v>
      </c>
      <c r="G110" s="28" t="e">
        <f t="shared" ca="1" si="0"/>
        <v>#NAME?</v>
      </c>
      <c r="H110" s="36">
        <v>211</v>
      </c>
      <c r="I110" s="29" t="e">
        <f t="shared" ca="1" si="1"/>
        <v>#NAME?</v>
      </c>
      <c r="J110" s="36">
        <v>235</v>
      </c>
      <c r="K110" s="29" t="e">
        <f t="shared" ca="1" si="2"/>
        <v>#NAME?</v>
      </c>
      <c r="L110" s="36">
        <v>192</v>
      </c>
      <c r="M110" s="29" t="e">
        <f t="shared" ca="1" si="3"/>
        <v>#NAME?</v>
      </c>
      <c r="N110" s="37">
        <v>15.97</v>
      </c>
      <c r="O110" s="38">
        <v>45.61</v>
      </c>
      <c r="P110" s="38">
        <v>37.25</v>
      </c>
      <c r="Q110" s="38">
        <v>22.22</v>
      </c>
      <c r="R110" s="38">
        <v>14.81</v>
      </c>
      <c r="S110" s="38">
        <v>-1.74</v>
      </c>
      <c r="T110" s="39">
        <v>4.4400000000000004</v>
      </c>
    </row>
    <row r="111" spans="1:20" ht="30.75" customHeight="1">
      <c r="A111" s="49"/>
      <c r="B111" s="52" t="s">
        <v>28</v>
      </c>
      <c r="C111" s="52" t="s">
        <v>19</v>
      </c>
      <c r="D111" s="52" t="s">
        <v>52</v>
      </c>
      <c r="E111" s="53"/>
      <c r="F111" s="36">
        <v>302</v>
      </c>
      <c r="G111" s="28" t="e">
        <f t="shared" ca="1" si="0"/>
        <v>#NAME?</v>
      </c>
      <c r="H111" s="36">
        <v>328</v>
      </c>
      <c r="I111" s="29" t="e">
        <f t="shared" ca="1" si="1"/>
        <v>#NAME?</v>
      </c>
      <c r="J111" s="36">
        <v>236</v>
      </c>
      <c r="K111" s="29" t="e">
        <f t="shared" ca="1" si="2"/>
        <v>#NAME?</v>
      </c>
      <c r="L111" s="36">
        <v>273</v>
      </c>
      <c r="M111" s="29" t="e">
        <f t="shared" ca="1" si="3"/>
        <v>#NAME?</v>
      </c>
      <c r="N111" s="37">
        <v>13.28</v>
      </c>
      <c r="O111" s="38">
        <v>43.86</v>
      </c>
      <c r="P111" s="38">
        <v>19.61</v>
      </c>
      <c r="Q111" s="38">
        <v>22.92</v>
      </c>
      <c r="R111" s="38">
        <v>37.04</v>
      </c>
      <c r="S111" s="38">
        <v>-3.5</v>
      </c>
      <c r="T111" s="39">
        <v>13.33</v>
      </c>
    </row>
    <row r="112" spans="1:20" ht="30.75" customHeight="1">
      <c r="A112" s="49"/>
      <c r="B112" s="52"/>
      <c r="C112" s="52"/>
      <c r="D112" s="52"/>
      <c r="E112" s="53"/>
      <c r="F112" s="36">
        <v>184</v>
      </c>
      <c r="G112" s="28" t="e">
        <f t="shared" ca="1" si="0"/>
        <v>#NAME?</v>
      </c>
      <c r="H112" s="36">
        <v>183</v>
      </c>
      <c r="I112" s="29" t="e">
        <f t="shared" ca="1" si="1"/>
        <v>#NAME?</v>
      </c>
      <c r="J112" s="36">
        <v>238</v>
      </c>
      <c r="K112" s="29" t="e">
        <f t="shared" ca="1" si="2"/>
        <v>#NAME?</v>
      </c>
      <c r="L112" s="36">
        <v>193</v>
      </c>
      <c r="M112" s="29" t="e">
        <f t="shared" ca="1" si="3"/>
        <v>#NAME?</v>
      </c>
      <c r="N112" s="37">
        <v>15.33</v>
      </c>
      <c r="O112" s="38">
        <v>33.33</v>
      </c>
      <c r="P112" s="38">
        <v>39.22</v>
      </c>
      <c r="Q112" s="38">
        <v>22.22</v>
      </c>
      <c r="R112" s="38">
        <v>3.7</v>
      </c>
      <c r="S112" s="38">
        <v>15.79</v>
      </c>
      <c r="T112" s="39">
        <v>48.89</v>
      </c>
    </row>
    <row r="113" spans="1:20" ht="30.75" customHeight="1">
      <c r="A113" s="49"/>
      <c r="B113" s="52"/>
      <c r="C113" s="52"/>
      <c r="D113" s="52"/>
      <c r="E113" s="53"/>
      <c r="F113" s="36">
        <v>205</v>
      </c>
      <c r="G113" s="28" t="e">
        <f t="shared" ca="1" si="0"/>
        <v>#NAME?</v>
      </c>
      <c r="H113" s="36">
        <v>155</v>
      </c>
      <c r="I113" s="29" t="e">
        <f t="shared" ca="1" si="1"/>
        <v>#NAME?</v>
      </c>
      <c r="J113" s="36">
        <v>239</v>
      </c>
      <c r="K113" s="29" t="e">
        <f t="shared" ca="1" si="2"/>
        <v>#NAME?</v>
      </c>
      <c r="L113" s="36">
        <v>144</v>
      </c>
      <c r="M113" s="29" t="e">
        <f t="shared" ca="1" si="3"/>
        <v>#NAME?</v>
      </c>
      <c r="N113" s="37">
        <v>15.53</v>
      </c>
      <c r="O113" s="38">
        <v>51.67</v>
      </c>
      <c r="P113" s="38">
        <v>49.02</v>
      </c>
      <c r="Q113" s="38">
        <v>4.4400000000000004</v>
      </c>
      <c r="R113" s="38">
        <v>22.22</v>
      </c>
      <c r="S113" s="38">
        <v>0</v>
      </c>
      <c r="T113" s="39">
        <v>0</v>
      </c>
    </row>
    <row r="114" spans="1:20" ht="30.75" customHeight="1">
      <c r="A114" s="49"/>
      <c r="B114" s="52" t="s">
        <v>28</v>
      </c>
      <c r="C114" s="52" t="s">
        <v>29</v>
      </c>
      <c r="D114" s="52" t="s">
        <v>44</v>
      </c>
      <c r="E114" s="53"/>
      <c r="F114" s="36">
        <v>237</v>
      </c>
      <c r="G114" s="28" t="e">
        <f t="shared" ca="1" si="0"/>
        <v>#NAME?</v>
      </c>
      <c r="H114" s="36">
        <v>232</v>
      </c>
      <c r="I114" s="29" t="e">
        <f t="shared" ca="1" si="1"/>
        <v>#NAME?</v>
      </c>
      <c r="J114" s="36">
        <v>247</v>
      </c>
      <c r="K114" s="29" t="e">
        <f t="shared" ca="1" si="2"/>
        <v>#NAME?</v>
      </c>
      <c r="L114" s="36">
        <v>203</v>
      </c>
      <c r="M114" s="29" t="e">
        <f t="shared" ca="1" si="3"/>
        <v>#NAME?</v>
      </c>
      <c r="N114" s="37">
        <v>15.5</v>
      </c>
      <c r="O114" s="38">
        <v>45.61</v>
      </c>
      <c r="P114" s="38">
        <v>33.33</v>
      </c>
      <c r="Q114" s="38">
        <v>18.75</v>
      </c>
      <c r="R114" s="38">
        <v>18.52</v>
      </c>
      <c r="S114" s="38">
        <v>0</v>
      </c>
      <c r="T114" s="39">
        <v>15.56</v>
      </c>
    </row>
    <row r="115" spans="1:20" ht="30.75" customHeight="1">
      <c r="A115" s="49"/>
      <c r="B115" s="50"/>
      <c r="C115" s="50"/>
      <c r="D115" s="50"/>
      <c r="E115" s="51" t="s">
        <v>57</v>
      </c>
      <c r="F115" s="43">
        <v>253</v>
      </c>
      <c r="G115" s="44" t="e">
        <f t="shared" ca="1" si="0"/>
        <v>#NAME?</v>
      </c>
      <c r="H115" s="43">
        <v>179</v>
      </c>
      <c r="I115" s="45" t="e">
        <f t="shared" ca="1" si="1"/>
        <v>#NAME?</v>
      </c>
      <c r="J115" s="43">
        <v>247</v>
      </c>
      <c r="K115" s="45" t="e">
        <f t="shared" ca="1" si="2"/>
        <v>#NAME?</v>
      </c>
      <c r="L115" s="43">
        <v>199</v>
      </c>
      <c r="M115" s="45" t="e">
        <f t="shared" ca="1" si="3"/>
        <v>#NAME?</v>
      </c>
      <c r="N115" s="37">
        <v>16.54</v>
      </c>
      <c r="O115" s="46">
        <v>36.840000000000003</v>
      </c>
      <c r="P115" s="46">
        <v>50.98</v>
      </c>
      <c r="Q115" s="46">
        <v>0</v>
      </c>
      <c r="R115" s="46">
        <v>40.74</v>
      </c>
      <c r="S115" s="46">
        <v>0</v>
      </c>
      <c r="T115" s="47">
        <v>3.33</v>
      </c>
    </row>
    <row r="116" spans="1:20" ht="30.75" customHeight="1">
      <c r="A116" s="49"/>
      <c r="B116" s="52" t="s">
        <v>28</v>
      </c>
      <c r="C116" s="52" t="s">
        <v>29</v>
      </c>
      <c r="D116" s="52" t="s">
        <v>43</v>
      </c>
      <c r="E116" s="53"/>
      <c r="F116" s="36">
        <v>220</v>
      </c>
      <c r="G116" s="28" t="e">
        <f t="shared" ca="1" si="0"/>
        <v>#NAME?</v>
      </c>
      <c r="H116" s="36">
        <v>196</v>
      </c>
      <c r="I116" s="29" t="e">
        <f t="shared" ca="1" si="1"/>
        <v>#NAME?</v>
      </c>
      <c r="J116" s="36">
        <v>248</v>
      </c>
      <c r="K116" s="29" t="e">
        <f t="shared" ca="1" si="2"/>
        <v>#NAME?</v>
      </c>
      <c r="L116" s="36">
        <v>202</v>
      </c>
      <c r="M116" s="29" t="e">
        <f t="shared" ca="1" si="3"/>
        <v>#NAME?</v>
      </c>
      <c r="N116" s="37">
        <v>17.18</v>
      </c>
      <c r="O116" s="38">
        <v>36.840000000000003</v>
      </c>
      <c r="P116" s="38">
        <v>43.14</v>
      </c>
      <c r="Q116" s="38">
        <v>18.75</v>
      </c>
      <c r="R116" s="38">
        <v>18.52</v>
      </c>
      <c r="S116" s="38">
        <v>0</v>
      </c>
      <c r="T116" s="39">
        <v>0</v>
      </c>
    </row>
    <row r="117" spans="1:20" ht="30.75" customHeight="1">
      <c r="A117" s="49"/>
      <c r="B117" s="52" t="s">
        <v>36</v>
      </c>
      <c r="C117" s="52" t="s">
        <v>29</v>
      </c>
      <c r="D117" s="52" t="s">
        <v>27</v>
      </c>
      <c r="E117" s="53"/>
      <c r="F117" s="36">
        <v>181</v>
      </c>
      <c r="G117" s="28" t="e">
        <f t="shared" ca="1" si="0"/>
        <v>#NAME?</v>
      </c>
      <c r="H117" s="36">
        <v>139</v>
      </c>
      <c r="I117" s="29" t="e">
        <f t="shared" ca="1" si="1"/>
        <v>#NAME?</v>
      </c>
      <c r="J117" s="36">
        <v>251</v>
      </c>
      <c r="K117" s="29" t="e">
        <f t="shared" ca="1" si="2"/>
        <v>#NAME?</v>
      </c>
      <c r="L117" s="36">
        <v>157</v>
      </c>
      <c r="M117" s="29" t="e">
        <f t="shared" ca="1" si="3"/>
        <v>#NAME?</v>
      </c>
      <c r="N117" s="37">
        <v>18.52</v>
      </c>
      <c r="O117" s="38">
        <v>36.840000000000003</v>
      </c>
      <c r="P117" s="38">
        <v>52.94</v>
      </c>
      <c r="Q117" s="38">
        <v>6.67</v>
      </c>
      <c r="R117" s="38">
        <v>11.11</v>
      </c>
      <c r="S117" s="38">
        <v>0</v>
      </c>
      <c r="T117" s="39">
        <v>32.22</v>
      </c>
    </row>
    <row r="118" spans="1:20" ht="30.75" customHeight="1">
      <c r="A118" s="49"/>
      <c r="B118" s="52" t="s">
        <v>28</v>
      </c>
      <c r="C118" s="52" t="s">
        <v>19</v>
      </c>
      <c r="D118" s="52" t="s">
        <v>58</v>
      </c>
      <c r="E118" s="53"/>
      <c r="F118" s="36">
        <v>236</v>
      </c>
      <c r="G118" s="28" t="e">
        <f t="shared" ca="1" si="0"/>
        <v>#NAME?</v>
      </c>
      <c r="H118" s="36">
        <v>224</v>
      </c>
      <c r="I118" s="29" t="e">
        <f t="shared" ca="1" si="1"/>
        <v>#NAME?</v>
      </c>
      <c r="J118" s="36">
        <v>255</v>
      </c>
      <c r="K118" s="29" t="e">
        <f t="shared" ca="1" si="2"/>
        <v>#NAME?</v>
      </c>
      <c r="L118" s="36">
        <v>229</v>
      </c>
      <c r="M118" s="29" t="e">
        <f t="shared" ca="1" si="3"/>
        <v>#NAME?</v>
      </c>
      <c r="N118" s="37">
        <v>15.99</v>
      </c>
      <c r="O118" s="38">
        <v>33.33</v>
      </c>
      <c r="P118" s="38">
        <v>41.18</v>
      </c>
      <c r="Q118" s="38">
        <v>22.92</v>
      </c>
      <c r="R118" s="38">
        <v>22.22</v>
      </c>
      <c r="S118" s="38">
        <v>0</v>
      </c>
      <c r="T118" s="39">
        <v>0</v>
      </c>
    </row>
    <row r="119" spans="1:20" ht="30.75" customHeight="1">
      <c r="A119" s="49"/>
      <c r="B119" s="50" t="s">
        <v>28</v>
      </c>
      <c r="C119" s="50" t="s">
        <v>19</v>
      </c>
      <c r="D119" s="50" t="s">
        <v>39</v>
      </c>
      <c r="E119" s="51" t="s">
        <v>59</v>
      </c>
      <c r="F119" s="43">
        <v>291</v>
      </c>
      <c r="G119" s="44" t="e">
        <f t="shared" ca="1" si="0"/>
        <v>#NAME?</v>
      </c>
      <c r="H119" s="43">
        <v>306</v>
      </c>
      <c r="I119" s="45" t="e">
        <f t="shared" ca="1" si="1"/>
        <v>#NAME?</v>
      </c>
      <c r="J119" s="43">
        <v>255</v>
      </c>
      <c r="K119" s="45" t="e">
        <f t="shared" ca="1" si="2"/>
        <v>#NAME?</v>
      </c>
      <c r="L119" s="43">
        <v>349</v>
      </c>
      <c r="M119" s="45" t="e">
        <f t="shared" ca="1" si="3"/>
        <v>#NAME?</v>
      </c>
      <c r="N119" s="37">
        <v>18.059999999999999</v>
      </c>
      <c r="O119" s="46">
        <v>12.28</v>
      </c>
      <c r="P119" s="46">
        <v>29.41</v>
      </c>
      <c r="Q119" s="46">
        <v>22.22</v>
      </c>
      <c r="R119" s="46">
        <v>33.33</v>
      </c>
      <c r="S119" s="46">
        <v>10.53</v>
      </c>
      <c r="T119" s="47">
        <v>34.44</v>
      </c>
    </row>
    <row r="120" spans="1:20" ht="30.75" customHeight="1">
      <c r="A120" s="49"/>
      <c r="B120" s="52"/>
      <c r="C120" s="52"/>
      <c r="D120" s="52"/>
      <c r="E120" s="53"/>
      <c r="F120" s="36">
        <v>195</v>
      </c>
      <c r="G120" s="28" t="e">
        <f t="shared" ca="1" si="0"/>
        <v>#NAME?</v>
      </c>
      <c r="H120" s="36">
        <v>214</v>
      </c>
      <c r="I120" s="29" t="e">
        <f t="shared" ca="1" si="1"/>
        <v>#NAME?</v>
      </c>
      <c r="J120" s="36">
        <v>257</v>
      </c>
      <c r="K120" s="29" t="e">
        <f t="shared" ca="1" si="2"/>
        <v>#NAME?</v>
      </c>
      <c r="L120" s="36">
        <v>199</v>
      </c>
      <c r="M120" s="29" t="e">
        <f t="shared" ca="1" si="3"/>
        <v>#NAME?</v>
      </c>
      <c r="N120" s="37">
        <v>16.920000000000002</v>
      </c>
      <c r="O120" s="38">
        <v>40.35</v>
      </c>
      <c r="P120" s="38">
        <v>37.25</v>
      </c>
      <c r="Q120" s="38">
        <v>33.33</v>
      </c>
      <c r="R120" s="38">
        <v>-3.69</v>
      </c>
      <c r="S120" s="38">
        <v>5.26</v>
      </c>
      <c r="T120" s="39">
        <v>0</v>
      </c>
    </row>
    <row r="121" spans="1:20" ht="30.75" customHeight="1">
      <c r="A121" s="49"/>
      <c r="B121" s="52" t="s">
        <v>60</v>
      </c>
      <c r="C121" s="52"/>
      <c r="D121" s="52"/>
      <c r="E121" s="53"/>
      <c r="F121" s="36">
        <v>360</v>
      </c>
      <c r="G121" s="28" t="e">
        <f t="shared" ca="1" si="0"/>
        <v>#NAME?</v>
      </c>
      <c r="H121" s="36">
        <v>351</v>
      </c>
      <c r="I121" s="29" t="e">
        <f t="shared" ca="1" si="1"/>
        <v>#NAME?</v>
      </c>
      <c r="J121" s="36">
        <v>273</v>
      </c>
      <c r="K121" s="29" t="e">
        <f t="shared" ca="1" si="2"/>
        <v>#NAME?</v>
      </c>
      <c r="L121" s="36">
        <v>279</v>
      </c>
      <c r="M121" s="29" t="e">
        <f t="shared" ca="1" si="3"/>
        <v>#NAME?</v>
      </c>
      <c r="N121" s="37">
        <v>18.21</v>
      </c>
      <c r="O121" s="38">
        <v>45</v>
      </c>
      <c r="P121" s="38">
        <v>14.81</v>
      </c>
      <c r="Q121" s="38">
        <v>-4.43</v>
      </c>
      <c r="R121" s="38">
        <v>40.74</v>
      </c>
      <c r="S121" s="38">
        <v>0</v>
      </c>
      <c r="T121" s="39">
        <v>28.89</v>
      </c>
    </row>
    <row r="122" spans="1:20" ht="30.75" customHeight="1">
      <c r="A122" s="49"/>
      <c r="B122" s="50"/>
      <c r="C122" s="50"/>
      <c r="D122" s="50"/>
      <c r="E122" s="51" t="s">
        <v>61</v>
      </c>
      <c r="F122" s="43">
        <v>308</v>
      </c>
      <c r="G122" s="44" t="e">
        <f t="shared" ca="1" si="0"/>
        <v>#NAME?</v>
      </c>
      <c r="H122" s="43">
        <v>327</v>
      </c>
      <c r="I122" s="45" t="e">
        <f t="shared" ca="1" si="1"/>
        <v>#NAME?</v>
      </c>
      <c r="J122" s="43">
        <v>276</v>
      </c>
      <c r="K122" s="45" t="e">
        <f t="shared" ca="1" si="2"/>
        <v>#NAME?</v>
      </c>
      <c r="L122" s="43">
        <v>364</v>
      </c>
      <c r="M122" s="45" t="e">
        <f t="shared" ca="1" si="3"/>
        <v>#NAME?</v>
      </c>
      <c r="N122" s="37">
        <v>16.77</v>
      </c>
      <c r="O122" s="46">
        <v>19.3</v>
      </c>
      <c r="P122" s="46">
        <v>29.41</v>
      </c>
      <c r="Q122" s="46">
        <v>28.89</v>
      </c>
      <c r="R122" s="46">
        <v>33.33</v>
      </c>
      <c r="S122" s="46">
        <v>0</v>
      </c>
      <c r="T122" s="47">
        <v>17.78</v>
      </c>
    </row>
    <row r="123" spans="1:20" ht="30.75" customHeight="1">
      <c r="A123" s="49"/>
      <c r="B123" s="52" t="s">
        <v>62</v>
      </c>
      <c r="C123" s="52"/>
      <c r="D123" s="52"/>
      <c r="E123" s="53"/>
      <c r="F123" s="36">
        <v>286</v>
      </c>
      <c r="G123" s="28" t="e">
        <f t="shared" ca="1" si="0"/>
        <v>#NAME?</v>
      </c>
      <c r="H123" s="36">
        <v>265</v>
      </c>
      <c r="I123" s="29" t="e">
        <f t="shared" ca="1" si="1"/>
        <v>#NAME?</v>
      </c>
      <c r="J123" s="36">
        <v>278</v>
      </c>
      <c r="K123" s="29" t="e">
        <f t="shared" ca="1" si="2"/>
        <v>#NAME?</v>
      </c>
      <c r="L123" s="36">
        <v>268</v>
      </c>
      <c r="M123" s="29" t="e">
        <f t="shared" ca="1" si="3"/>
        <v>#NAME?</v>
      </c>
      <c r="N123" s="37">
        <v>14.29</v>
      </c>
      <c r="O123" s="38">
        <v>36.67</v>
      </c>
      <c r="P123" s="38">
        <v>35.29</v>
      </c>
      <c r="Q123" s="38">
        <v>20</v>
      </c>
      <c r="R123" s="38">
        <v>29.63</v>
      </c>
      <c r="S123" s="38">
        <v>0</v>
      </c>
      <c r="T123" s="39">
        <v>0</v>
      </c>
    </row>
    <row r="124" spans="1:20" ht="30.75" customHeight="1">
      <c r="A124" s="49"/>
      <c r="B124" s="52" t="s">
        <v>28</v>
      </c>
      <c r="C124" s="52" t="s">
        <v>29</v>
      </c>
      <c r="D124" s="52" t="s">
        <v>44</v>
      </c>
      <c r="E124" s="53"/>
      <c r="F124" s="36">
        <v>180</v>
      </c>
      <c r="G124" s="28" t="e">
        <f t="shared" ca="1" si="0"/>
        <v>#NAME?</v>
      </c>
      <c r="H124" s="36">
        <v>125</v>
      </c>
      <c r="I124" s="29" t="e">
        <f t="shared" ca="1" si="1"/>
        <v>#NAME?</v>
      </c>
      <c r="J124" s="36">
        <v>281</v>
      </c>
      <c r="K124" s="29" t="e">
        <f t="shared" ca="1" si="2"/>
        <v>#NAME?</v>
      </c>
      <c r="L124" s="36">
        <v>169</v>
      </c>
      <c r="M124" s="29" t="e">
        <f t="shared" ca="1" si="3"/>
        <v>#NAME?</v>
      </c>
      <c r="N124" s="37">
        <v>16.079999999999998</v>
      </c>
      <c r="O124" s="38">
        <v>31.67</v>
      </c>
      <c r="P124" s="38">
        <v>64.709999999999994</v>
      </c>
      <c r="Q124" s="38">
        <v>8.89</v>
      </c>
      <c r="R124" s="38">
        <v>11.11</v>
      </c>
      <c r="S124" s="38">
        <v>0</v>
      </c>
      <c r="T124" s="39">
        <v>31.11</v>
      </c>
    </row>
    <row r="125" spans="1:20" ht="30.75" customHeight="1">
      <c r="A125" s="49"/>
      <c r="B125" s="52" t="s">
        <v>28</v>
      </c>
      <c r="C125" s="52" t="s">
        <v>30</v>
      </c>
      <c r="D125" s="52" t="s">
        <v>27</v>
      </c>
      <c r="E125" s="53"/>
      <c r="F125" s="36">
        <v>203</v>
      </c>
      <c r="G125" s="28" t="e">
        <f t="shared" ca="1" si="0"/>
        <v>#NAME?</v>
      </c>
      <c r="H125" s="36">
        <v>191</v>
      </c>
      <c r="I125" s="29" t="e">
        <f t="shared" ca="1" si="1"/>
        <v>#NAME?</v>
      </c>
      <c r="J125" s="36">
        <v>285</v>
      </c>
      <c r="K125" s="29" t="e">
        <f t="shared" ca="1" si="2"/>
        <v>#NAME?</v>
      </c>
      <c r="L125" s="36">
        <v>218</v>
      </c>
      <c r="M125" s="29" t="e">
        <f t="shared" ca="1" si="3"/>
        <v>#NAME?</v>
      </c>
      <c r="N125" s="37">
        <v>19.420000000000002</v>
      </c>
      <c r="O125" s="38">
        <v>29.82</v>
      </c>
      <c r="P125" s="38">
        <v>47.06</v>
      </c>
      <c r="Q125" s="38">
        <v>26.67</v>
      </c>
      <c r="R125" s="38">
        <v>0</v>
      </c>
      <c r="S125" s="38">
        <v>0</v>
      </c>
      <c r="T125" s="39">
        <v>0</v>
      </c>
    </row>
    <row r="126" spans="1:20" ht="30.75" customHeight="1">
      <c r="A126" s="49"/>
      <c r="B126" s="52" t="s">
        <v>36</v>
      </c>
      <c r="C126" s="52" t="s">
        <v>30</v>
      </c>
      <c r="D126" s="52" t="s">
        <v>27</v>
      </c>
      <c r="E126" s="53"/>
      <c r="F126" s="36">
        <v>271</v>
      </c>
      <c r="G126" s="28" t="e">
        <f t="shared" ca="1" si="0"/>
        <v>#NAME?</v>
      </c>
      <c r="H126" s="36">
        <v>229</v>
      </c>
      <c r="I126" s="29" t="e">
        <f t="shared" ca="1" si="1"/>
        <v>#NAME?</v>
      </c>
      <c r="J126" s="36">
        <v>286</v>
      </c>
      <c r="K126" s="29" t="e">
        <f t="shared" ca="1" si="2"/>
        <v>#NAME?</v>
      </c>
      <c r="L126" s="36">
        <v>289</v>
      </c>
      <c r="M126" s="29" t="e">
        <f t="shared" ca="1" si="3"/>
        <v>#NAME?</v>
      </c>
      <c r="N126" s="37">
        <v>18.77</v>
      </c>
      <c r="O126" s="38">
        <v>17.54</v>
      </c>
      <c r="P126" s="38">
        <v>47.06</v>
      </c>
      <c r="Q126" s="38">
        <v>11.11</v>
      </c>
      <c r="R126" s="38">
        <v>33.33</v>
      </c>
      <c r="S126" s="38">
        <v>-1.74</v>
      </c>
      <c r="T126" s="39">
        <v>3.33</v>
      </c>
    </row>
    <row r="127" spans="1:20" ht="30.75" customHeight="1">
      <c r="A127" s="49"/>
      <c r="B127" s="52"/>
      <c r="C127" s="52" t="s">
        <v>30</v>
      </c>
      <c r="D127" s="52" t="s">
        <v>38</v>
      </c>
      <c r="E127" s="53"/>
      <c r="F127" s="36">
        <v>283</v>
      </c>
      <c r="G127" s="28" t="e">
        <f t="shared" ca="1" si="0"/>
        <v>#NAME?</v>
      </c>
      <c r="H127" s="36">
        <v>302</v>
      </c>
      <c r="I127" s="29" t="e">
        <f t="shared" ca="1" si="1"/>
        <v>#NAME?</v>
      </c>
      <c r="J127" s="36">
        <v>289</v>
      </c>
      <c r="K127" s="29" t="e">
        <f t="shared" ca="1" si="2"/>
        <v>#NAME?</v>
      </c>
      <c r="L127" s="36">
        <v>281</v>
      </c>
      <c r="M127" s="29" t="e">
        <f t="shared" ca="1" si="3"/>
        <v>#NAME?</v>
      </c>
      <c r="N127" s="37">
        <v>18.48</v>
      </c>
      <c r="O127" s="38">
        <v>35</v>
      </c>
      <c r="P127" s="38">
        <v>21.57</v>
      </c>
      <c r="Q127" s="38">
        <v>24.44</v>
      </c>
      <c r="R127" s="38">
        <v>7.41</v>
      </c>
      <c r="S127" s="38">
        <v>3.51</v>
      </c>
      <c r="T127" s="39">
        <v>31.11</v>
      </c>
    </row>
    <row r="128" spans="1:20" ht="30.75" customHeight="1">
      <c r="A128" s="49"/>
      <c r="B128" s="52" t="s">
        <v>28</v>
      </c>
      <c r="C128" s="52" t="s">
        <v>29</v>
      </c>
      <c r="D128" s="52" t="s">
        <v>53</v>
      </c>
      <c r="E128" s="53"/>
      <c r="F128" s="36">
        <v>312</v>
      </c>
      <c r="G128" s="28" t="e">
        <f t="shared" ca="1" si="0"/>
        <v>#NAME?</v>
      </c>
      <c r="H128" s="36">
        <v>349</v>
      </c>
      <c r="I128" s="29" t="e">
        <f t="shared" ca="1" si="1"/>
        <v>#NAME?</v>
      </c>
      <c r="J128" s="36">
        <v>291</v>
      </c>
      <c r="K128" s="29" t="e">
        <f t="shared" ca="1" si="2"/>
        <v>#NAME?</v>
      </c>
      <c r="L128" s="36">
        <v>343</v>
      </c>
      <c r="M128" s="29" t="e">
        <f t="shared" ca="1" si="3"/>
        <v>#NAME?</v>
      </c>
      <c r="N128" s="37">
        <v>17.95</v>
      </c>
      <c r="O128" s="38">
        <v>24.56</v>
      </c>
      <c r="P128" s="38">
        <v>23.53</v>
      </c>
      <c r="Q128" s="38">
        <v>31.11</v>
      </c>
      <c r="R128" s="38">
        <v>22.22</v>
      </c>
      <c r="S128" s="38">
        <v>-1.74</v>
      </c>
      <c r="T128" s="39">
        <v>3.33</v>
      </c>
    </row>
    <row r="129" spans="1:20" ht="30.75" customHeight="1">
      <c r="A129" s="49"/>
      <c r="B129" s="52" t="s">
        <v>28</v>
      </c>
      <c r="C129" s="52" t="s">
        <v>19</v>
      </c>
      <c r="D129" s="54" t="s">
        <v>63</v>
      </c>
      <c r="E129" s="53"/>
      <c r="F129" s="36">
        <v>259</v>
      </c>
      <c r="G129" s="28" t="e">
        <f t="shared" ca="1" si="0"/>
        <v>#NAME?</v>
      </c>
      <c r="H129" s="36">
        <v>261</v>
      </c>
      <c r="I129" s="29" t="e">
        <f t="shared" ca="1" si="1"/>
        <v>#NAME?</v>
      </c>
      <c r="J129" s="36">
        <v>293</v>
      </c>
      <c r="K129" s="29" t="e">
        <f t="shared" ca="1" si="2"/>
        <v>#NAME?</v>
      </c>
      <c r="L129" s="36">
        <v>255</v>
      </c>
      <c r="M129" s="29" t="e">
        <f t="shared" ca="1" si="3"/>
        <v>#NAME?</v>
      </c>
      <c r="N129" s="37">
        <v>15.7</v>
      </c>
      <c r="O129" s="38">
        <v>38.6</v>
      </c>
      <c r="P129" s="38">
        <v>33.33</v>
      </c>
      <c r="Q129" s="38">
        <v>26.67</v>
      </c>
      <c r="R129" s="38">
        <v>11.11</v>
      </c>
      <c r="S129" s="38">
        <v>0</v>
      </c>
      <c r="T129" s="39">
        <v>11.11</v>
      </c>
    </row>
    <row r="130" spans="1:20" ht="30.75" customHeight="1">
      <c r="A130" s="49"/>
      <c r="B130" s="52"/>
      <c r="C130" s="52" t="s">
        <v>19</v>
      </c>
      <c r="D130" s="52" t="s">
        <v>64</v>
      </c>
      <c r="E130" s="53"/>
      <c r="F130" s="36">
        <v>300</v>
      </c>
      <c r="G130" s="28" t="e">
        <f t="shared" ca="1" si="0"/>
        <v>#NAME?</v>
      </c>
      <c r="H130" s="36">
        <v>321</v>
      </c>
      <c r="I130" s="29" t="e">
        <f t="shared" ca="1" si="1"/>
        <v>#NAME?</v>
      </c>
      <c r="J130" s="36">
        <v>300</v>
      </c>
      <c r="K130" s="29" t="e">
        <f t="shared" ca="1" si="2"/>
        <v>#NAME?</v>
      </c>
      <c r="L130" s="36">
        <v>276</v>
      </c>
      <c r="M130" s="29" t="e">
        <f t="shared" ca="1" si="3"/>
        <v>#NAME?</v>
      </c>
      <c r="N130" s="37">
        <v>17.170000000000002</v>
      </c>
      <c r="O130" s="38">
        <v>41.67</v>
      </c>
      <c r="P130" s="38">
        <v>19.61</v>
      </c>
      <c r="Q130" s="38">
        <v>22.22</v>
      </c>
      <c r="R130" s="38">
        <v>11.11</v>
      </c>
      <c r="S130" s="38">
        <v>0</v>
      </c>
      <c r="T130" s="39">
        <v>32.22</v>
      </c>
    </row>
    <row r="131" spans="1:20" ht="30.75" customHeight="1">
      <c r="A131" s="49"/>
      <c r="B131" s="52" t="s">
        <v>28</v>
      </c>
      <c r="C131" s="52" t="s">
        <v>19</v>
      </c>
      <c r="D131" s="52" t="s">
        <v>58</v>
      </c>
      <c r="E131" s="53"/>
      <c r="F131" s="36">
        <v>248</v>
      </c>
      <c r="G131" s="28" t="e">
        <f t="shared" ca="1" si="0"/>
        <v>#NAME?</v>
      </c>
      <c r="H131" s="36">
        <v>253</v>
      </c>
      <c r="I131" s="29" t="e">
        <f t="shared" ca="1" si="1"/>
        <v>#NAME?</v>
      </c>
      <c r="J131" s="36">
        <v>307</v>
      </c>
      <c r="K131" s="29" t="e">
        <f t="shared" ca="1" si="2"/>
        <v>#NAME?</v>
      </c>
      <c r="L131" s="36">
        <v>271</v>
      </c>
      <c r="M131" s="29" t="e">
        <f t="shared" ca="1" si="3"/>
        <v>#NAME?</v>
      </c>
      <c r="N131" s="37">
        <v>17.329999999999998</v>
      </c>
      <c r="O131" s="38">
        <v>29.82</v>
      </c>
      <c r="P131" s="38">
        <v>37.25</v>
      </c>
      <c r="Q131" s="38">
        <v>31.11</v>
      </c>
      <c r="R131" s="38">
        <v>7.41</v>
      </c>
      <c r="S131" s="38">
        <v>0</v>
      </c>
      <c r="T131" s="39">
        <v>3.33</v>
      </c>
    </row>
    <row r="132" spans="1:20" ht="30.75" customHeight="1">
      <c r="A132" s="49"/>
      <c r="B132" s="50"/>
      <c r="C132" s="50"/>
      <c r="D132" s="50"/>
      <c r="E132" s="51" t="s">
        <v>65</v>
      </c>
      <c r="F132" s="43">
        <v>238</v>
      </c>
      <c r="G132" s="44" t="e">
        <f t="shared" ca="1" si="0"/>
        <v>#NAME?</v>
      </c>
      <c r="H132" s="43">
        <v>221</v>
      </c>
      <c r="I132" s="45" t="e">
        <f t="shared" ca="1" si="1"/>
        <v>#NAME?</v>
      </c>
      <c r="J132" s="43">
        <v>310</v>
      </c>
      <c r="K132" s="45" t="e">
        <f t="shared" ca="1" si="2"/>
        <v>#NAME?</v>
      </c>
      <c r="L132" s="43">
        <v>183</v>
      </c>
      <c r="M132" s="45" t="e">
        <f t="shared" ca="1" si="3"/>
        <v>#NAME?</v>
      </c>
      <c r="N132" s="37">
        <v>19.05</v>
      </c>
      <c r="O132" s="38">
        <v>50</v>
      </c>
      <c r="P132" s="38">
        <v>37.25</v>
      </c>
      <c r="Q132" s="38">
        <v>13.33</v>
      </c>
      <c r="R132" s="38">
        <v>-3.69</v>
      </c>
      <c r="S132" s="38">
        <v>5.26</v>
      </c>
      <c r="T132" s="39">
        <v>11.11</v>
      </c>
    </row>
    <row r="133" spans="1:20" ht="30.75" customHeight="1">
      <c r="A133" s="49"/>
      <c r="B133" s="52" t="s">
        <v>28</v>
      </c>
      <c r="C133" s="52" t="s">
        <v>66</v>
      </c>
      <c r="D133" s="52" t="s">
        <v>27</v>
      </c>
      <c r="E133" s="53"/>
      <c r="F133" s="36">
        <v>288</v>
      </c>
      <c r="G133" s="28" t="e">
        <f t="shared" ca="1" si="0"/>
        <v>#NAME?</v>
      </c>
      <c r="H133" s="36">
        <v>234</v>
      </c>
      <c r="I133" s="29" t="e">
        <f t="shared" ca="1" si="1"/>
        <v>#NAME?</v>
      </c>
      <c r="J133" s="36">
        <v>310</v>
      </c>
      <c r="K133" s="29" t="e">
        <f t="shared" ca="1" si="2"/>
        <v>#NAME?</v>
      </c>
      <c r="L133" s="36">
        <v>249</v>
      </c>
      <c r="M133" s="29" t="e">
        <f t="shared" ca="1" si="3"/>
        <v>#NAME?</v>
      </c>
      <c r="N133" s="37">
        <v>18.989999999999998</v>
      </c>
      <c r="O133" s="38">
        <v>33.33</v>
      </c>
      <c r="P133" s="38">
        <v>41.18</v>
      </c>
      <c r="Q133" s="38">
        <v>4.4400000000000004</v>
      </c>
      <c r="R133" s="38">
        <v>25.93</v>
      </c>
      <c r="S133" s="38">
        <v>0</v>
      </c>
      <c r="T133" s="39">
        <v>0</v>
      </c>
    </row>
    <row r="134" spans="1:20" ht="30.75" customHeight="1">
      <c r="A134" s="49"/>
      <c r="B134" s="50"/>
      <c r="C134" s="50"/>
      <c r="D134" s="50"/>
      <c r="E134" s="51" t="s">
        <v>67</v>
      </c>
      <c r="F134" s="43">
        <v>315</v>
      </c>
      <c r="G134" s="44" t="e">
        <f t="shared" ca="1" si="0"/>
        <v>#NAME?</v>
      </c>
      <c r="H134" s="43">
        <v>309</v>
      </c>
      <c r="I134" s="45" t="e">
        <f t="shared" ca="1" si="1"/>
        <v>#NAME?</v>
      </c>
      <c r="J134" s="43">
        <v>311</v>
      </c>
      <c r="K134" s="45" t="e">
        <f t="shared" ca="1" si="2"/>
        <v>#NAME?</v>
      </c>
      <c r="L134" s="43">
        <v>399</v>
      </c>
      <c r="M134" s="45" t="e">
        <f t="shared" ca="1" si="3"/>
        <v>#NAME?</v>
      </c>
      <c r="N134" s="37">
        <v>19.14</v>
      </c>
      <c r="O134" s="46">
        <v>5.26</v>
      </c>
      <c r="P134" s="46">
        <v>37.25</v>
      </c>
      <c r="Q134" s="46">
        <v>24.44</v>
      </c>
      <c r="R134" s="46">
        <v>29.63</v>
      </c>
      <c r="S134" s="46">
        <v>0</v>
      </c>
      <c r="T134" s="47">
        <v>35.56</v>
      </c>
    </row>
    <row r="135" spans="1:20" ht="30.75" customHeight="1">
      <c r="A135" s="49"/>
      <c r="B135" s="52" t="s">
        <v>36</v>
      </c>
      <c r="C135" s="52" t="s">
        <v>30</v>
      </c>
      <c r="D135" s="52" t="s">
        <v>27</v>
      </c>
      <c r="E135" s="53"/>
      <c r="F135" s="36">
        <v>290</v>
      </c>
      <c r="G135" s="28" t="e">
        <f t="shared" ca="1" si="0"/>
        <v>#NAME?</v>
      </c>
      <c r="H135" s="36">
        <v>236</v>
      </c>
      <c r="I135" s="29" t="e">
        <f t="shared" ca="1" si="1"/>
        <v>#NAME?</v>
      </c>
      <c r="J135" s="36">
        <v>329</v>
      </c>
      <c r="K135" s="29" t="e">
        <f t="shared" ca="1" si="2"/>
        <v>#NAME?</v>
      </c>
      <c r="L135" s="36">
        <v>316</v>
      </c>
      <c r="M135" s="29" t="e">
        <f t="shared" ca="1" si="3"/>
        <v>#NAME?</v>
      </c>
      <c r="N135" s="37">
        <v>16.05</v>
      </c>
      <c r="O135" s="38">
        <v>10</v>
      </c>
      <c r="P135" s="38">
        <v>47.06</v>
      </c>
      <c r="Q135" s="38">
        <v>11.11</v>
      </c>
      <c r="R135" s="38">
        <v>25.93</v>
      </c>
      <c r="S135" s="38">
        <v>21.05</v>
      </c>
      <c r="T135" s="39">
        <v>18.89</v>
      </c>
    </row>
    <row r="136" spans="1:20" ht="30.75" customHeight="1">
      <c r="A136" s="49"/>
      <c r="B136" s="52" t="s">
        <v>28</v>
      </c>
      <c r="C136" s="52" t="s">
        <v>29</v>
      </c>
      <c r="D136" s="52" t="s">
        <v>58</v>
      </c>
      <c r="E136" s="53"/>
      <c r="F136" s="36">
        <v>344</v>
      </c>
      <c r="G136" s="28" t="e">
        <f t="shared" ca="1" si="0"/>
        <v>#NAME?</v>
      </c>
      <c r="H136" s="36">
        <v>463</v>
      </c>
      <c r="I136" s="29" t="e">
        <f t="shared" ca="1" si="1"/>
        <v>#NAME?</v>
      </c>
      <c r="J136" s="36">
        <v>332</v>
      </c>
      <c r="K136" s="29" t="e">
        <f t="shared" ca="1" si="2"/>
        <v>#NAME?</v>
      </c>
      <c r="L136" s="36">
        <v>301</v>
      </c>
      <c r="M136" s="29" t="e">
        <f t="shared" ca="1" si="3"/>
        <v>#NAME?</v>
      </c>
      <c r="N136" s="37">
        <v>20</v>
      </c>
      <c r="O136" s="38">
        <v>54.39</v>
      </c>
      <c r="P136" s="38">
        <v>0</v>
      </c>
      <c r="Q136" s="38">
        <v>26.67</v>
      </c>
      <c r="R136" s="38">
        <v>0</v>
      </c>
      <c r="S136" s="38">
        <v>0</v>
      </c>
      <c r="T136" s="39">
        <v>0</v>
      </c>
    </row>
    <row r="137" spans="1:20" ht="30.75" customHeight="1">
      <c r="A137" s="49"/>
      <c r="B137" s="52"/>
      <c r="C137" s="52" t="s">
        <v>29</v>
      </c>
      <c r="D137" s="52" t="s">
        <v>44</v>
      </c>
      <c r="E137" s="53"/>
      <c r="F137" s="36">
        <v>209</v>
      </c>
      <c r="G137" s="28" t="e">
        <f t="shared" ca="1" si="0"/>
        <v>#NAME?</v>
      </c>
      <c r="H137" s="36">
        <v>167</v>
      </c>
      <c r="I137" s="29" t="e">
        <f t="shared" ca="1" si="1"/>
        <v>#NAME?</v>
      </c>
      <c r="J137" s="36">
        <v>339</v>
      </c>
      <c r="K137" s="29" t="e">
        <f t="shared" ca="1" si="2"/>
        <v>#NAME?</v>
      </c>
      <c r="L137" s="36">
        <v>246</v>
      </c>
      <c r="M137" s="29" t="e">
        <f t="shared" ca="1" si="3"/>
        <v>#NAME?</v>
      </c>
      <c r="N137" s="37">
        <v>14.21</v>
      </c>
      <c r="O137" s="38">
        <v>19.3</v>
      </c>
      <c r="P137" s="38">
        <v>58.82</v>
      </c>
      <c r="Q137" s="38">
        <v>26.67</v>
      </c>
      <c r="R137" s="38">
        <v>-3.69</v>
      </c>
      <c r="S137" s="38">
        <v>0</v>
      </c>
      <c r="T137" s="39">
        <v>70</v>
      </c>
    </row>
    <row r="138" spans="1:20" ht="30.75" customHeight="1">
      <c r="A138" s="49"/>
      <c r="B138" s="52"/>
      <c r="C138" s="52"/>
      <c r="D138" s="52"/>
      <c r="E138" s="53"/>
      <c r="F138" s="36">
        <v>435</v>
      </c>
      <c r="G138" s="28" t="e">
        <f t="shared" ca="1" si="0"/>
        <v>#NAME?</v>
      </c>
      <c r="H138" s="36">
        <v>555</v>
      </c>
      <c r="I138" s="29" t="e">
        <f t="shared" ca="1" si="1"/>
        <v>#NAME?</v>
      </c>
      <c r="J138" s="36">
        <v>341</v>
      </c>
      <c r="K138" s="29" t="e">
        <f t="shared" ca="1" si="2"/>
        <v>#NAME?</v>
      </c>
      <c r="L138" s="36">
        <v>481</v>
      </c>
      <c r="M138" s="29" t="e">
        <f t="shared" ca="1" si="3"/>
        <v>#NAME?</v>
      </c>
      <c r="N138" s="37" t="s">
        <v>22</v>
      </c>
      <c r="O138" s="38">
        <v>24.56</v>
      </c>
      <c r="P138" s="38">
        <v>5.88</v>
      </c>
      <c r="Q138" s="38">
        <v>27.08</v>
      </c>
      <c r="R138" s="38">
        <v>29.63</v>
      </c>
      <c r="S138" s="38">
        <v>0</v>
      </c>
      <c r="T138" s="39">
        <v>13.33</v>
      </c>
    </row>
    <row r="139" spans="1:20" ht="30.75" customHeight="1">
      <c r="A139" s="49"/>
      <c r="B139" s="52" t="s">
        <v>28</v>
      </c>
      <c r="C139" s="52" t="s">
        <v>29</v>
      </c>
      <c r="D139" s="52" t="s">
        <v>39</v>
      </c>
      <c r="E139" s="53"/>
      <c r="F139" s="36">
        <v>312</v>
      </c>
      <c r="G139" s="28" t="e">
        <f t="shared" ca="1" si="0"/>
        <v>#NAME?</v>
      </c>
      <c r="H139" s="36">
        <v>267</v>
      </c>
      <c r="I139" s="29" t="e">
        <f t="shared" ca="1" si="1"/>
        <v>#NAME?</v>
      </c>
      <c r="J139" s="36">
        <v>343</v>
      </c>
      <c r="K139" s="29" t="e">
        <f t="shared" ca="1" si="2"/>
        <v>#NAME?</v>
      </c>
      <c r="L139" s="36">
        <v>300</v>
      </c>
      <c r="M139" s="29" t="e">
        <f t="shared" ca="1" si="3"/>
        <v>#NAME?</v>
      </c>
      <c r="N139" s="37">
        <v>16.989999999999998</v>
      </c>
      <c r="O139" s="38">
        <v>28.33</v>
      </c>
      <c r="P139" s="38">
        <v>41.18</v>
      </c>
      <c r="Q139" s="38">
        <v>14.58</v>
      </c>
      <c r="R139" s="38">
        <v>22.22</v>
      </c>
      <c r="S139" s="38">
        <v>0</v>
      </c>
      <c r="T139" s="39">
        <v>0</v>
      </c>
    </row>
    <row r="140" spans="1:20" ht="30.75" customHeight="1">
      <c r="A140" s="49"/>
      <c r="B140" s="52" t="s">
        <v>60</v>
      </c>
      <c r="C140" s="52"/>
      <c r="D140" s="52"/>
      <c r="E140" s="53"/>
      <c r="F140" s="36">
        <v>373</v>
      </c>
      <c r="G140" s="28" t="e">
        <f t="shared" ca="1" si="0"/>
        <v>#NAME?</v>
      </c>
      <c r="H140" s="36">
        <v>378</v>
      </c>
      <c r="I140" s="29" t="e">
        <f t="shared" ca="1" si="1"/>
        <v>#NAME?</v>
      </c>
      <c r="J140" s="36">
        <v>345</v>
      </c>
      <c r="K140" s="29" t="e">
        <f t="shared" ca="1" si="2"/>
        <v>#NAME?</v>
      </c>
      <c r="L140" s="36">
        <v>369</v>
      </c>
      <c r="M140" s="29" t="e">
        <f t="shared" ca="1" si="3"/>
        <v>#NAME?</v>
      </c>
      <c r="N140" s="37">
        <v>14.4</v>
      </c>
      <c r="O140" s="38">
        <v>28.07</v>
      </c>
      <c r="P140" s="38">
        <v>25.49</v>
      </c>
      <c r="Q140" s="38">
        <v>20</v>
      </c>
      <c r="R140" s="38">
        <v>29.63</v>
      </c>
      <c r="S140" s="38">
        <v>0</v>
      </c>
      <c r="T140" s="39">
        <v>27.78</v>
      </c>
    </row>
    <row r="141" spans="1:20" ht="30.75" customHeight="1">
      <c r="A141" s="49"/>
      <c r="B141" s="52" t="s">
        <v>36</v>
      </c>
      <c r="C141" s="52" t="s">
        <v>19</v>
      </c>
      <c r="D141" s="52" t="s">
        <v>53</v>
      </c>
      <c r="E141" s="53"/>
      <c r="F141" s="36">
        <v>321</v>
      </c>
      <c r="G141" s="28" t="e">
        <f t="shared" ca="1" si="0"/>
        <v>#NAME?</v>
      </c>
      <c r="H141" s="36">
        <v>322</v>
      </c>
      <c r="I141" s="29" t="e">
        <f t="shared" ca="1" si="1"/>
        <v>#NAME?</v>
      </c>
      <c r="J141" s="36">
        <v>347</v>
      </c>
      <c r="K141" s="29" t="e">
        <f t="shared" ca="1" si="2"/>
        <v>#NAME?</v>
      </c>
      <c r="L141" s="36">
        <v>264</v>
      </c>
      <c r="M141" s="29" t="e">
        <f t="shared" ca="1" si="3"/>
        <v>#NAME?</v>
      </c>
      <c r="N141" s="37">
        <v>20</v>
      </c>
      <c r="O141" s="38">
        <v>49.12</v>
      </c>
      <c r="P141" s="38">
        <v>21.57</v>
      </c>
      <c r="Q141" s="38">
        <v>13.33</v>
      </c>
      <c r="R141" s="38">
        <v>3.7</v>
      </c>
      <c r="S141" s="38">
        <v>0</v>
      </c>
      <c r="T141" s="39">
        <v>0</v>
      </c>
    </row>
    <row r="142" spans="1:20" ht="30.75" customHeight="1">
      <c r="A142" s="49"/>
      <c r="B142" s="52" t="s">
        <v>62</v>
      </c>
      <c r="C142" s="52"/>
      <c r="D142" s="52"/>
      <c r="E142" s="53"/>
      <c r="F142" s="36">
        <v>381</v>
      </c>
      <c r="G142" s="28" t="e">
        <f t="shared" ca="1" si="0"/>
        <v>#NAME?</v>
      </c>
      <c r="H142" s="36">
        <v>311</v>
      </c>
      <c r="I142" s="29" t="e">
        <f t="shared" ca="1" si="1"/>
        <v>#NAME?</v>
      </c>
      <c r="J142" s="36">
        <v>358</v>
      </c>
      <c r="K142" s="29" t="e">
        <f t="shared" ca="1" si="2"/>
        <v>#NAME?</v>
      </c>
      <c r="L142" s="36">
        <v>327</v>
      </c>
      <c r="M142" s="29" t="e">
        <f t="shared" ca="1" si="3"/>
        <v>#NAME?</v>
      </c>
      <c r="N142" s="37">
        <v>15.84</v>
      </c>
      <c r="O142" s="38">
        <v>29.82</v>
      </c>
      <c r="P142" s="38">
        <v>37.25</v>
      </c>
      <c r="Q142" s="38">
        <v>2.2200000000000002</v>
      </c>
      <c r="R142" s="38">
        <v>40.74</v>
      </c>
      <c r="S142" s="38">
        <v>0</v>
      </c>
      <c r="T142" s="39">
        <v>0</v>
      </c>
    </row>
    <row r="143" spans="1:20" ht="30.75" customHeight="1">
      <c r="A143" s="49"/>
      <c r="B143" s="52"/>
      <c r="C143" s="52"/>
      <c r="D143" s="52"/>
      <c r="E143" s="53"/>
      <c r="F143" s="36">
        <v>278</v>
      </c>
      <c r="G143" s="28" t="e">
        <f t="shared" ca="1" si="0"/>
        <v>#NAME?</v>
      </c>
      <c r="H143" s="36">
        <v>237</v>
      </c>
      <c r="I143" s="29" t="e">
        <f t="shared" ca="1" si="1"/>
        <v>#NAME?</v>
      </c>
      <c r="J143" s="36">
        <v>360</v>
      </c>
      <c r="K143" s="29" t="e">
        <f t="shared" ca="1" si="2"/>
        <v>#NAME?</v>
      </c>
      <c r="L143" s="36">
        <v>265</v>
      </c>
      <c r="M143" s="29" t="e">
        <f t="shared" ca="1" si="3"/>
        <v>#NAME?</v>
      </c>
      <c r="N143" s="37">
        <v>19.18</v>
      </c>
      <c r="O143" s="38">
        <v>31.58</v>
      </c>
      <c r="P143" s="38">
        <v>45.1</v>
      </c>
      <c r="Q143" s="38">
        <v>13.33</v>
      </c>
      <c r="R143" s="38">
        <v>7.41</v>
      </c>
      <c r="S143" s="38">
        <v>0</v>
      </c>
      <c r="T143" s="39">
        <v>0</v>
      </c>
    </row>
    <row r="144" spans="1:20" ht="30.75" customHeight="1">
      <c r="A144" s="49"/>
      <c r="B144" s="52" t="s">
        <v>36</v>
      </c>
      <c r="C144" s="52" t="s">
        <v>29</v>
      </c>
      <c r="D144" s="52" t="s">
        <v>44</v>
      </c>
      <c r="E144" s="53"/>
      <c r="F144" s="36">
        <v>268</v>
      </c>
      <c r="G144" s="28" t="e">
        <f t="shared" ca="1" si="0"/>
        <v>#NAME?</v>
      </c>
      <c r="H144" s="36">
        <v>227</v>
      </c>
      <c r="I144" s="29" t="e">
        <f t="shared" ca="1" si="1"/>
        <v>#NAME?</v>
      </c>
      <c r="J144" s="36">
        <v>365</v>
      </c>
      <c r="K144" s="29" t="e">
        <f t="shared" ca="1" si="2"/>
        <v>#NAME?</v>
      </c>
      <c r="L144" s="36">
        <v>253</v>
      </c>
      <c r="M144" s="29" t="e">
        <f t="shared" ca="1" si="3"/>
        <v>#NAME?</v>
      </c>
      <c r="N144" s="37">
        <v>15.44</v>
      </c>
      <c r="O144" s="38">
        <v>31.58</v>
      </c>
      <c r="P144" s="38">
        <v>45.1</v>
      </c>
      <c r="Q144" s="38">
        <v>11.11</v>
      </c>
      <c r="R144" s="38">
        <v>3.7</v>
      </c>
      <c r="S144" s="38">
        <v>0</v>
      </c>
      <c r="T144" s="39">
        <v>75.56</v>
      </c>
    </row>
    <row r="145" spans="1:20" ht="30.75" customHeight="1">
      <c r="A145" s="49"/>
      <c r="B145" s="52" t="s">
        <v>62</v>
      </c>
      <c r="C145" s="52"/>
      <c r="D145" s="52"/>
      <c r="E145" s="53"/>
      <c r="F145" s="36">
        <v>450</v>
      </c>
      <c r="G145" s="28" t="e">
        <f t="shared" ca="1" si="0"/>
        <v>#NAME?</v>
      </c>
      <c r="H145" s="36">
        <v>477</v>
      </c>
      <c r="I145" s="29" t="e">
        <f t="shared" ca="1" si="1"/>
        <v>#NAME?</v>
      </c>
      <c r="J145" s="36">
        <v>369</v>
      </c>
      <c r="K145" s="29" t="e">
        <f t="shared" ca="1" si="2"/>
        <v>#NAME?</v>
      </c>
      <c r="L145" s="36">
        <v>478</v>
      </c>
      <c r="M145" s="29" t="e">
        <f t="shared" ca="1" si="3"/>
        <v>#NAME?</v>
      </c>
      <c r="N145" s="37">
        <v>20</v>
      </c>
      <c r="O145" s="38">
        <v>15.79</v>
      </c>
      <c r="P145" s="38">
        <v>13.73</v>
      </c>
      <c r="Q145" s="38">
        <v>11.11</v>
      </c>
      <c r="R145" s="38">
        <v>33.33</v>
      </c>
      <c r="S145" s="38">
        <v>8.77</v>
      </c>
      <c r="T145" s="39">
        <v>18.89</v>
      </c>
    </row>
    <row r="146" spans="1:20" ht="30.75" customHeight="1">
      <c r="A146" s="49"/>
      <c r="B146" s="52" t="s">
        <v>36</v>
      </c>
      <c r="C146" s="52" t="s">
        <v>29</v>
      </c>
      <c r="D146" s="52" t="s">
        <v>68</v>
      </c>
      <c r="E146" s="53"/>
      <c r="F146" s="36">
        <v>357</v>
      </c>
      <c r="G146" s="28" t="e">
        <f t="shared" ca="1" si="0"/>
        <v>#NAME?</v>
      </c>
      <c r="H146" s="36">
        <v>342</v>
      </c>
      <c r="I146" s="29" t="e">
        <f t="shared" ca="1" si="1"/>
        <v>#NAME?</v>
      </c>
      <c r="J146" s="36">
        <v>375</v>
      </c>
      <c r="K146" s="29" t="e">
        <f t="shared" ca="1" si="2"/>
        <v>#NAME?</v>
      </c>
      <c r="L146" s="36">
        <v>339</v>
      </c>
      <c r="M146" s="29" t="e">
        <f t="shared" ca="1" si="3"/>
        <v>#NAME?</v>
      </c>
      <c r="N146" s="37">
        <v>16.739999999999998</v>
      </c>
      <c r="O146" s="38">
        <v>31.58</v>
      </c>
      <c r="P146" s="38">
        <v>31.37</v>
      </c>
      <c r="Q146" s="38">
        <v>15.56</v>
      </c>
      <c r="R146" s="38">
        <v>22.22</v>
      </c>
      <c r="S146" s="38">
        <v>0</v>
      </c>
      <c r="T146" s="39">
        <v>0</v>
      </c>
    </row>
    <row r="147" spans="1:20" ht="30.75" customHeight="1">
      <c r="A147" s="49"/>
      <c r="B147" s="50"/>
      <c r="C147" s="50"/>
      <c r="D147" s="50"/>
      <c r="E147" s="51" t="s">
        <v>69</v>
      </c>
      <c r="F147" s="43">
        <v>320</v>
      </c>
      <c r="G147" s="44" t="e">
        <f t="shared" ca="1" si="0"/>
        <v>#NAME?</v>
      </c>
      <c r="H147" s="43">
        <v>295</v>
      </c>
      <c r="I147" s="45" t="e">
        <f t="shared" ca="1" si="1"/>
        <v>#NAME?</v>
      </c>
      <c r="J147" s="43">
        <v>376</v>
      </c>
      <c r="K147" s="45" t="e">
        <f t="shared" ca="1" si="2"/>
        <v>#NAME?</v>
      </c>
      <c r="L147" s="43">
        <v>300</v>
      </c>
      <c r="M147" s="45" t="e">
        <f t="shared" ca="1" si="3"/>
        <v>#NAME?</v>
      </c>
      <c r="N147" s="37" t="s">
        <v>22</v>
      </c>
      <c r="O147" s="46">
        <v>38.6</v>
      </c>
      <c r="P147" s="46">
        <v>39.22</v>
      </c>
      <c r="Q147" s="46">
        <v>20</v>
      </c>
      <c r="R147" s="46">
        <v>14.81</v>
      </c>
      <c r="S147" s="46">
        <v>0</v>
      </c>
      <c r="T147" s="47">
        <v>0</v>
      </c>
    </row>
    <row r="148" spans="1:20" ht="30.75" customHeight="1">
      <c r="A148" s="49"/>
      <c r="B148" s="52" t="s">
        <v>36</v>
      </c>
      <c r="C148" s="52" t="s">
        <v>31</v>
      </c>
      <c r="D148" s="52" t="s">
        <v>44</v>
      </c>
      <c r="E148" s="53"/>
      <c r="F148" s="36">
        <v>415</v>
      </c>
      <c r="G148" s="28" t="e">
        <f t="shared" ca="1" si="0"/>
        <v>#NAME?</v>
      </c>
      <c r="H148" s="36">
        <v>416</v>
      </c>
      <c r="I148" s="29" t="e">
        <f t="shared" ca="1" si="1"/>
        <v>#NAME?</v>
      </c>
      <c r="J148" s="36">
        <v>376</v>
      </c>
      <c r="K148" s="29" t="e">
        <f t="shared" ca="1" si="2"/>
        <v>#NAME?</v>
      </c>
      <c r="L148" s="36">
        <v>318</v>
      </c>
      <c r="M148" s="29" t="e">
        <f t="shared" ca="1" si="3"/>
        <v>#NAME?</v>
      </c>
      <c r="N148" s="37">
        <v>16.46</v>
      </c>
      <c r="O148" s="38">
        <v>51.67</v>
      </c>
      <c r="P148" s="38">
        <v>15.69</v>
      </c>
      <c r="Q148" s="38">
        <v>4.4400000000000004</v>
      </c>
      <c r="R148" s="38">
        <v>25.93</v>
      </c>
      <c r="S148" s="38">
        <v>0</v>
      </c>
      <c r="T148" s="39">
        <v>0</v>
      </c>
    </row>
    <row r="149" spans="1:20" ht="30.75" customHeight="1">
      <c r="A149" s="49"/>
      <c r="B149" s="52" t="s">
        <v>70</v>
      </c>
      <c r="C149" s="52"/>
      <c r="D149" s="52"/>
      <c r="E149" s="53"/>
      <c r="F149" s="36">
        <v>386</v>
      </c>
      <c r="G149" s="28" t="e">
        <f t="shared" ca="1" si="0"/>
        <v>#NAME?</v>
      </c>
      <c r="H149" s="36">
        <v>444</v>
      </c>
      <c r="I149" s="29" t="e">
        <f t="shared" ca="1" si="1"/>
        <v>#NAME?</v>
      </c>
      <c r="J149" s="36">
        <v>377</v>
      </c>
      <c r="K149" s="29" t="e">
        <f t="shared" ca="1" si="2"/>
        <v>#NAME?</v>
      </c>
      <c r="L149" s="36">
        <v>421</v>
      </c>
      <c r="M149" s="29" t="e">
        <f t="shared" ca="1" si="3"/>
        <v>#NAME?</v>
      </c>
      <c r="N149" s="37">
        <v>16.03</v>
      </c>
      <c r="O149" s="38">
        <v>21.05</v>
      </c>
      <c r="P149" s="38">
        <v>11.76</v>
      </c>
      <c r="Q149" s="38">
        <v>24.44</v>
      </c>
      <c r="R149" s="38">
        <v>7.41</v>
      </c>
      <c r="S149" s="38">
        <v>14.04</v>
      </c>
      <c r="T149" s="39">
        <v>78.89</v>
      </c>
    </row>
    <row r="150" spans="1:20" ht="30.75" customHeight="1">
      <c r="A150" s="49"/>
      <c r="B150" s="52" t="s">
        <v>28</v>
      </c>
      <c r="C150" s="52" t="s">
        <v>19</v>
      </c>
      <c r="D150" s="52" t="s">
        <v>58</v>
      </c>
      <c r="E150" s="53"/>
      <c r="F150" s="36">
        <v>529</v>
      </c>
      <c r="G150" s="28" t="e">
        <f t="shared" ca="1" si="0"/>
        <v>#NAME?</v>
      </c>
      <c r="H150" s="36">
        <v>596</v>
      </c>
      <c r="I150" s="29" t="e">
        <f t="shared" ca="1" si="1"/>
        <v>#NAME?</v>
      </c>
      <c r="J150" s="36">
        <v>378</v>
      </c>
      <c r="K150" s="29" t="e">
        <f t="shared" ca="1" si="2"/>
        <v>#NAME?</v>
      </c>
      <c r="L150" s="36">
        <v>515</v>
      </c>
      <c r="M150" s="29" t="e">
        <f t="shared" ca="1" si="3"/>
        <v>#NAME?</v>
      </c>
      <c r="N150" s="37">
        <v>14.43</v>
      </c>
      <c r="O150" s="38">
        <v>22.81</v>
      </c>
      <c r="P150" s="38">
        <v>5.88</v>
      </c>
      <c r="Q150" s="38">
        <v>11.11</v>
      </c>
      <c r="R150" s="38">
        <v>40.74</v>
      </c>
      <c r="S150" s="38">
        <v>24.56</v>
      </c>
      <c r="T150" s="39">
        <v>12.22</v>
      </c>
    </row>
    <row r="151" spans="1:20" ht="30.75" customHeight="1">
      <c r="A151" s="49"/>
      <c r="B151" s="52" t="s">
        <v>28</v>
      </c>
      <c r="C151" s="52" t="s">
        <v>29</v>
      </c>
      <c r="D151" s="52" t="s">
        <v>39</v>
      </c>
      <c r="E151" s="53"/>
      <c r="F151" s="36">
        <v>279</v>
      </c>
      <c r="G151" s="28" t="e">
        <f t="shared" ca="1" si="0"/>
        <v>#NAME?</v>
      </c>
      <c r="H151" s="36">
        <v>225</v>
      </c>
      <c r="I151" s="29" t="e">
        <f t="shared" ca="1" si="1"/>
        <v>#NAME?</v>
      </c>
      <c r="J151" s="36">
        <v>382</v>
      </c>
      <c r="K151" s="29" t="e">
        <f t="shared" ca="1" si="2"/>
        <v>#NAME?</v>
      </c>
      <c r="L151" s="36">
        <v>306</v>
      </c>
      <c r="M151" s="29" t="e">
        <f t="shared" ca="1" si="3"/>
        <v>#NAME?</v>
      </c>
      <c r="N151" s="37">
        <v>17.940000000000001</v>
      </c>
      <c r="O151" s="38">
        <v>15</v>
      </c>
      <c r="P151" s="38">
        <v>52.94</v>
      </c>
      <c r="Q151" s="38">
        <v>15.56</v>
      </c>
      <c r="R151" s="38">
        <v>7.41</v>
      </c>
      <c r="S151" s="38">
        <v>0</v>
      </c>
      <c r="T151" s="39">
        <v>42.22</v>
      </c>
    </row>
    <row r="152" spans="1:20" ht="30.75" customHeight="1">
      <c r="A152" s="49"/>
      <c r="B152" s="52"/>
      <c r="C152" s="52" t="s">
        <v>30</v>
      </c>
      <c r="D152" s="52" t="s">
        <v>24</v>
      </c>
      <c r="E152" s="53"/>
      <c r="F152" s="36">
        <v>260</v>
      </c>
      <c r="G152" s="28" t="e">
        <f t="shared" ca="1" si="0"/>
        <v>#NAME?</v>
      </c>
      <c r="H152" s="36">
        <v>179</v>
      </c>
      <c r="I152" s="29" t="e">
        <f t="shared" ca="1" si="1"/>
        <v>#NAME?</v>
      </c>
      <c r="J152" s="36">
        <v>385</v>
      </c>
      <c r="K152" s="29" t="e">
        <f t="shared" ca="1" si="2"/>
        <v>#NAME?</v>
      </c>
      <c r="L152" s="36">
        <v>186</v>
      </c>
      <c r="M152" s="29" t="e">
        <f t="shared" ca="1" si="3"/>
        <v>#NAME?</v>
      </c>
      <c r="N152" s="37">
        <v>19.86</v>
      </c>
      <c r="O152" s="38">
        <v>48.33</v>
      </c>
      <c r="P152" s="38">
        <v>52.94</v>
      </c>
      <c r="Q152" s="38">
        <v>-4.43</v>
      </c>
      <c r="R152" s="38">
        <v>-3.69</v>
      </c>
      <c r="S152" s="38">
        <v>0</v>
      </c>
      <c r="T152" s="39">
        <v>0</v>
      </c>
    </row>
    <row r="153" spans="1:20" ht="30.75" customHeight="1">
      <c r="A153" s="49"/>
      <c r="B153" s="50" t="s">
        <v>28</v>
      </c>
      <c r="C153" s="50" t="s">
        <v>31</v>
      </c>
      <c r="D153" s="50" t="s">
        <v>38</v>
      </c>
      <c r="E153" s="51" t="s">
        <v>71</v>
      </c>
      <c r="F153" s="43">
        <v>353</v>
      </c>
      <c r="G153" s="44" t="e">
        <f t="shared" ca="1" si="0"/>
        <v>#NAME?</v>
      </c>
      <c r="H153" s="43">
        <v>249</v>
      </c>
      <c r="I153" s="45" t="e">
        <f t="shared" ca="1" si="1"/>
        <v>#NAME?</v>
      </c>
      <c r="J153" s="43">
        <v>394</v>
      </c>
      <c r="K153" s="45" t="e">
        <f t="shared" ca="1" si="2"/>
        <v>#NAME?</v>
      </c>
      <c r="L153" s="43">
        <v>312</v>
      </c>
      <c r="M153" s="45" t="e">
        <f t="shared" ca="1" si="3"/>
        <v>#NAME?</v>
      </c>
      <c r="N153" s="37">
        <v>19.43</v>
      </c>
      <c r="O153" s="46">
        <v>24.56</v>
      </c>
      <c r="P153" s="46">
        <v>50.98</v>
      </c>
      <c r="Q153" s="46">
        <v>-4.43</v>
      </c>
      <c r="R153" s="46">
        <v>29.63</v>
      </c>
      <c r="S153" s="46">
        <v>0</v>
      </c>
      <c r="T153" s="47">
        <v>6.67</v>
      </c>
    </row>
    <row r="154" spans="1:20" ht="30.75" customHeight="1">
      <c r="A154" s="49"/>
      <c r="B154" s="52" t="s">
        <v>28</v>
      </c>
      <c r="C154" s="52" t="s">
        <v>29</v>
      </c>
      <c r="D154" s="52" t="s">
        <v>72</v>
      </c>
      <c r="E154" s="53"/>
      <c r="F154" s="36">
        <v>353</v>
      </c>
      <c r="G154" s="28" t="e">
        <f t="shared" ca="1" si="0"/>
        <v>#NAME?</v>
      </c>
      <c r="H154" s="36">
        <v>334</v>
      </c>
      <c r="I154" s="29" t="e">
        <f t="shared" ca="1" si="1"/>
        <v>#NAME?</v>
      </c>
      <c r="J154" s="36">
        <v>396</v>
      </c>
      <c r="K154" s="29" t="e">
        <f t="shared" ca="1" si="2"/>
        <v>#NAME?</v>
      </c>
      <c r="L154" s="36">
        <v>330</v>
      </c>
      <c r="M154" s="29" t="e">
        <f t="shared" ca="1" si="3"/>
        <v>#NAME?</v>
      </c>
      <c r="N154" s="37">
        <v>19.010000000000002</v>
      </c>
      <c r="O154" s="38">
        <v>31.58</v>
      </c>
      <c r="P154" s="38">
        <v>33.33</v>
      </c>
      <c r="Q154" s="38">
        <v>13.33</v>
      </c>
      <c r="R154" s="38">
        <v>14.81</v>
      </c>
      <c r="S154" s="38">
        <v>-8.76</v>
      </c>
      <c r="T154" s="39">
        <v>2.2200000000000002</v>
      </c>
    </row>
    <row r="155" spans="1:20" ht="30.75" customHeight="1">
      <c r="A155" s="49"/>
      <c r="B155" s="52" t="s">
        <v>28</v>
      </c>
      <c r="C155" s="52" t="s">
        <v>29</v>
      </c>
      <c r="D155" s="52" t="s">
        <v>73</v>
      </c>
      <c r="E155" s="53"/>
      <c r="F155" s="36">
        <v>411</v>
      </c>
      <c r="G155" s="28" t="e">
        <f t="shared" ca="1" si="0"/>
        <v>#NAME?</v>
      </c>
      <c r="H155" s="36">
        <v>396</v>
      </c>
      <c r="I155" s="29" t="e">
        <f t="shared" ca="1" si="1"/>
        <v>#NAME?</v>
      </c>
      <c r="J155" s="36">
        <v>400</v>
      </c>
      <c r="K155" s="29" t="e">
        <f t="shared" ca="1" si="2"/>
        <v>#NAME?</v>
      </c>
      <c r="L155" s="36">
        <v>353</v>
      </c>
      <c r="M155" s="29" t="e">
        <f t="shared" ca="1" si="3"/>
        <v>#NAME?</v>
      </c>
      <c r="N155" s="37">
        <v>18.05</v>
      </c>
      <c r="O155" s="38">
        <v>35.090000000000003</v>
      </c>
      <c r="P155" s="38">
        <v>21.57</v>
      </c>
      <c r="Q155" s="38">
        <v>4.4400000000000004</v>
      </c>
      <c r="R155" s="38">
        <v>22.22</v>
      </c>
      <c r="S155" s="38">
        <v>0</v>
      </c>
      <c r="T155" s="39">
        <v>31.11</v>
      </c>
    </row>
    <row r="156" spans="1:20" ht="30.75" customHeight="1">
      <c r="A156" s="49"/>
      <c r="B156" s="52" t="s">
        <v>28</v>
      </c>
      <c r="C156" s="52" t="s">
        <v>19</v>
      </c>
      <c r="D156" s="52" t="s">
        <v>74</v>
      </c>
      <c r="E156" s="53"/>
      <c r="F156" s="36">
        <v>514</v>
      </c>
      <c r="G156" s="28" t="e">
        <f t="shared" ca="1" si="0"/>
        <v>#NAME?</v>
      </c>
      <c r="H156" s="36">
        <v>636</v>
      </c>
      <c r="I156" s="29" t="e">
        <f t="shared" ca="1" si="1"/>
        <v>#NAME?</v>
      </c>
      <c r="J156" s="36">
        <v>402</v>
      </c>
      <c r="K156" s="29" t="e">
        <f t="shared" ca="1" si="2"/>
        <v>#NAME?</v>
      </c>
      <c r="L156" s="36">
        <v>490</v>
      </c>
      <c r="M156" s="29" t="e">
        <f t="shared" ca="1" si="3"/>
        <v>#NAME?</v>
      </c>
      <c r="N156" s="37">
        <v>19.57</v>
      </c>
      <c r="O156" s="38">
        <v>28.07</v>
      </c>
      <c r="P156" s="38">
        <v>-1.96</v>
      </c>
      <c r="Q156" s="38">
        <v>13.33</v>
      </c>
      <c r="R156" s="38">
        <v>22.22</v>
      </c>
      <c r="S156" s="38">
        <v>-1.74</v>
      </c>
      <c r="T156" s="39">
        <v>61.11</v>
      </c>
    </row>
    <row r="157" spans="1:20" ht="30.75" customHeight="1">
      <c r="A157" s="49"/>
      <c r="B157" s="50" t="s">
        <v>28</v>
      </c>
      <c r="C157" s="50" t="s">
        <v>29</v>
      </c>
      <c r="D157" s="50" t="s">
        <v>38</v>
      </c>
      <c r="E157" s="51" t="s">
        <v>75</v>
      </c>
      <c r="F157" s="43">
        <v>326</v>
      </c>
      <c r="G157" s="44" t="e">
        <f t="shared" ca="1" si="0"/>
        <v>#NAME?</v>
      </c>
      <c r="H157" s="43">
        <v>285</v>
      </c>
      <c r="I157" s="45" t="e">
        <f t="shared" ca="1" si="1"/>
        <v>#NAME?</v>
      </c>
      <c r="J157" s="43">
        <v>408</v>
      </c>
      <c r="K157" s="45" t="e">
        <f t="shared" ca="1" si="2"/>
        <v>#NAME?</v>
      </c>
      <c r="L157" s="43">
        <v>310</v>
      </c>
      <c r="M157" s="45" t="e">
        <f t="shared" ca="1" si="3"/>
        <v>#NAME?</v>
      </c>
      <c r="N157" s="37">
        <v>15.4</v>
      </c>
      <c r="O157" s="46">
        <v>35.090000000000003</v>
      </c>
      <c r="P157" s="46">
        <v>45.1</v>
      </c>
      <c r="Q157" s="46">
        <v>20</v>
      </c>
      <c r="R157" s="46">
        <v>11.11</v>
      </c>
      <c r="S157" s="46">
        <v>0</v>
      </c>
      <c r="T157" s="47">
        <v>0</v>
      </c>
    </row>
    <row r="158" spans="1:20" ht="30.75" customHeight="1">
      <c r="A158" s="49"/>
      <c r="B158" s="52"/>
      <c r="C158" s="52"/>
      <c r="D158" s="52"/>
      <c r="E158" s="53"/>
      <c r="F158" s="36">
        <v>530</v>
      </c>
      <c r="G158" s="28" t="e">
        <f t="shared" ca="1" si="0"/>
        <v>#NAME?</v>
      </c>
      <c r="H158" s="36">
        <v>752</v>
      </c>
      <c r="I158" s="29" t="e">
        <f t="shared" ca="1" si="1"/>
        <v>#NAME?</v>
      </c>
      <c r="J158" s="36">
        <v>411</v>
      </c>
      <c r="K158" s="29" t="e">
        <f t="shared" ca="1" si="2"/>
        <v>#NAME?</v>
      </c>
      <c r="L158" s="36">
        <v>710</v>
      </c>
      <c r="M158" s="29" t="e">
        <f t="shared" ca="1" si="3"/>
        <v>#NAME?</v>
      </c>
      <c r="N158" s="37" t="s">
        <v>22</v>
      </c>
      <c r="O158" s="38">
        <v>5.26</v>
      </c>
      <c r="P158" s="38">
        <v>-3.91</v>
      </c>
      <c r="Q158" s="38">
        <v>33.33</v>
      </c>
      <c r="R158" s="38">
        <v>22.22</v>
      </c>
      <c r="S158" s="38">
        <v>19.3</v>
      </c>
      <c r="T158" s="39">
        <v>64.44</v>
      </c>
    </row>
    <row r="159" spans="1:20" ht="30.75" customHeight="1">
      <c r="A159" s="49"/>
      <c r="B159" s="52"/>
      <c r="C159" s="52" t="s">
        <v>29</v>
      </c>
      <c r="D159" s="54" t="s">
        <v>76</v>
      </c>
      <c r="E159" s="53"/>
      <c r="F159" s="36">
        <v>443</v>
      </c>
      <c r="G159" s="28" t="e">
        <f t="shared" ca="1" si="0"/>
        <v>#NAME?</v>
      </c>
      <c r="H159" s="36">
        <v>491</v>
      </c>
      <c r="I159" s="29" t="e">
        <f t="shared" ca="1" si="1"/>
        <v>#NAME?</v>
      </c>
      <c r="J159" s="36">
        <v>422</v>
      </c>
      <c r="K159" s="29" t="e">
        <f t="shared" ca="1" si="2"/>
        <v>#NAME?</v>
      </c>
      <c r="L159" s="36">
        <v>443</v>
      </c>
      <c r="M159" s="29" t="e">
        <f t="shared" ca="1" si="3"/>
        <v>#NAME?</v>
      </c>
      <c r="N159" s="37">
        <v>19.96</v>
      </c>
      <c r="O159" s="38">
        <v>22.81</v>
      </c>
      <c r="P159" s="38">
        <v>9.8000000000000007</v>
      </c>
      <c r="Q159" s="38">
        <v>11.11</v>
      </c>
      <c r="R159" s="38">
        <v>11.11</v>
      </c>
      <c r="S159" s="38">
        <v>7.02</v>
      </c>
      <c r="T159" s="39">
        <v>70</v>
      </c>
    </row>
    <row r="160" spans="1:20" ht="30.75" customHeight="1">
      <c r="A160" s="49"/>
      <c r="B160" s="50" t="s">
        <v>28</v>
      </c>
      <c r="C160" s="50" t="s">
        <v>29</v>
      </c>
      <c r="D160" s="50" t="s">
        <v>38</v>
      </c>
      <c r="E160" s="51" t="s">
        <v>77</v>
      </c>
      <c r="F160" s="43">
        <v>358</v>
      </c>
      <c r="G160" s="44" t="e">
        <f t="shared" ca="1" si="0"/>
        <v>#NAME?</v>
      </c>
      <c r="H160" s="43">
        <v>329</v>
      </c>
      <c r="I160" s="45" t="e">
        <f t="shared" ca="1" si="1"/>
        <v>#NAME?</v>
      </c>
      <c r="J160" s="43">
        <v>445</v>
      </c>
      <c r="K160" s="45" t="e">
        <f t="shared" ca="1" si="2"/>
        <v>#NAME?</v>
      </c>
      <c r="L160" s="43">
        <v>304</v>
      </c>
      <c r="M160" s="45" t="e">
        <f t="shared" ca="1" si="3"/>
        <v>#NAME?</v>
      </c>
      <c r="N160" s="37">
        <v>15.47</v>
      </c>
      <c r="O160" s="46">
        <v>48.33</v>
      </c>
      <c r="P160" s="46">
        <v>35.29</v>
      </c>
      <c r="Q160" s="46">
        <v>20</v>
      </c>
      <c r="R160" s="46">
        <v>0</v>
      </c>
      <c r="S160" s="46">
        <v>0</v>
      </c>
      <c r="T160" s="47">
        <v>0</v>
      </c>
    </row>
    <row r="161" spans="1:20" ht="30.75" customHeight="1">
      <c r="A161" s="49"/>
      <c r="B161" s="52" t="s">
        <v>62</v>
      </c>
      <c r="C161" s="52"/>
      <c r="D161" s="52"/>
      <c r="E161" s="53"/>
      <c r="F161" s="36">
        <v>446</v>
      </c>
      <c r="G161" s="28" t="e">
        <f t="shared" ca="1" si="0"/>
        <v>#NAME?</v>
      </c>
      <c r="H161" s="36">
        <v>323</v>
      </c>
      <c r="I161" s="29" t="e">
        <f t="shared" ca="1" si="1"/>
        <v>#NAME?</v>
      </c>
      <c r="J161" s="36">
        <v>445</v>
      </c>
      <c r="K161" s="29" t="e">
        <f t="shared" ca="1" si="2"/>
        <v>#NAME?</v>
      </c>
      <c r="L161" s="36">
        <v>371</v>
      </c>
      <c r="M161" s="29" t="e">
        <f t="shared" ca="1" si="3"/>
        <v>#NAME?</v>
      </c>
      <c r="N161" s="37">
        <v>16.16</v>
      </c>
      <c r="O161" s="38">
        <v>26.32</v>
      </c>
      <c r="P161" s="38">
        <v>43.14</v>
      </c>
      <c r="Q161" s="38">
        <v>-11.1</v>
      </c>
      <c r="R161" s="38">
        <v>44.44</v>
      </c>
      <c r="S161" s="38">
        <v>0</v>
      </c>
      <c r="T161" s="39">
        <v>0</v>
      </c>
    </row>
    <row r="162" spans="1:20" ht="30.75" customHeight="1">
      <c r="A162" s="49"/>
      <c r="B162" s="52" t="s">
        <v>28</v>
      </c>
      <c r="C162" s="52" t="s">
        <v>33</v>
      </c>
      <c r="D162" s="52" t="s">
        <v>52</v>
      </c>
      <c r="E162" s="53"/>
      <c r="F162" s="36">
        <v>367</v>
      </c>
      <c r="G162" s="28" t="e">
        <f t="shared" ca="1" si="0"/>
        <v>#NAME?</v>
      </c>
      <c r="H162" s="36">
        <v>338</v>
      </c>
      <c r="I162" s="29" t="e">
        <f t="shared" ca="1" si="1"/>
        <v>#NAME?</v>
      </c>
      <c r="J162" s="36">
        <v>447</v>
      </c>
      <c r="K162" s="29" t="e">
        <f t="shared" ca="1" si="2"/>
        <v>#NAME?</v>
      </c>
      <c r="L162" s="36">
        <v>321</v>
      </c>
      <c r="M162" s="29" t="e">
        <f t="shared" ca="1" si="3"/>
        <v>#NAME?</v>
      </c>
      <c r="N162" s="37">
        <v>15.5</v>
      </c>
      <c r="O162" s="38">
        <v>40.35</v>
      </c>
      <c r="P162" s="38">
        <v>35.29</v>
      </c>
      <c r="Q162" s="38">
        <v>13.33</v>
      </c>
      <c r="R162" s="38">
        <v>11.11</v>
      </c>
      <c r="S162" s="38">
        <v>0</v>
      </c>
      <c r="T162" s="39">
        <v>0</v>
      </c>
    </row>
    <row r="163" spans="1:20" ht="30.75" customHeight="1">
      <c r="A163" s="49"/>
      <c r="B163" s="52"/>
      <c r="C163" s="52"/>
      <c r="D163" s="52"/>
      <c r="E163" s="53"/>
      <c r="F163" s="36">
        <v>388</v>
      </c>
      <c r="G163" s="28" t="e">
        <f t="shared" ca="1" si="0"/>
        <v>#NAME?</v>
      </c>
      <c r="H163" s="36">
        <v>269</v>
      </c>
      <c r="I163" s="29" t="e">
        <f t="shared" ca="1" si="1"/>
        <v>#NAME?</v>
      </c>
      <c r="J163" s="36">
        <v>454</v>
      </c>
      <c r="K163" s="29" t="e">
        <f t="shared" ca="1" si="2"/>
        <v>#NAME?</v>
      </c>
      <c r="L163" s="36">
        <v>345</v>
      </c>
      <c r="M163" s="29" t="e">
        <f t="shared" ca="1" si="3"/>
        <v>#NAME?</v>
      </c>
      <c r="N163" s="37">
        <v>17.04</v>
      </c>
      <c r="O163" s="38">
        <v>21.05</v>
      </c>
      <c r="P163" s="38">
        <v>50.98</v>
      </c>
      <c r="Q163" s="38">
        <v>-4.43</v>
      </c>
      <c r="R163" s="38">
        <v>29.63</v>
      </c>
      <c r="S163" s="38">
        <v>0</v>
      </c>
      <c r="T163" s="39">
        <v>14.44</v>
      </c>
    </row>
    <row r="164" spans="1:20" ht="30.75" customHeight="1">
      <c r="A164" s="49"/>
      <c r="B164" s="52" t="s">
        <v>60</v>
      </c>
      <c r="C164" s="52"/>
      <c r="D164" s="52"/>
      <c r="E164" s="53"/>
      <c r="F164" s="36">
        <v>464</v>
      </c>
      <c r="G164" s="28" t="e">
        <f t="shared" ca="1" si="0"/>
        <v>#NAME?</v>
      </c>
      <c r="H164" s="36">
        <v>541</v>
      </c>
      <c r="I164" s="29" t="e">
        <f t="shared" ca="1" si="1"/>
        <v>#NAME?</v>
      </c>
      <c r="J164" s="36">
        <v>461</v>
      </c>
      <c r="K164" s="29" t="e">
        <f t="shared" ca="1" si="2"/>
        <v>#NAME?</v>
      </c>
      <c r="L164" s="36">
        <v>464</v>
      </c>
      <c r="M164" s="29" t="e">
        <f t="shared" ca="1" si="3"/>
        <v>#NAME?</v>
      </c>
      <c r="N164" s="37">
        <v>17.48</v>
      </c>
      <c r="O164" s="38">
        <v>29.82</v>
      </c>
      <c r="P164" s="38">
        <v>9.8000000000000007</v>
      </c>
      <c r="Q164" s="38">
        <v>20</v>
      </c>
      <c r="R164" s="38">
        <v>7.41</v>
      </c>
      <c r="S164" s="38">
        <v>0</v>
      </c>
      <c r="T164" s="39">
        <v>61.11</v>
      </c>
    </row>
    <row r="165" spans="1:20" ht="30.75" customHeight="1">
      <c r="A165" s="49"/>
      <c r="B165" s="52" t="s">
        <v>28</v>
      </c>
      <c r="C165" s="52" t="s">
        <v>30</v>
      </c>
      <c r="D165" s="52" t="s">
        <v>78</v>
      </c>
      <c r="E165" s="53"/>
      <c r="F165" s="36">
        <v>349</v>
      </c>
      <c r="G165" s="28" t="e">
        <f t="shared" ca="1" si="0"/>
        <v>#NAME?</v>
      </c>
      <c r="H165" s="36">
        <v>337</v>
      </c>
      <c r="I165" s="29" t="e">
        <f t="shared" ca="1" si="1"/>
        <v>#NAME?</v>
      </c>
      <c r="J165" s="36">
        <v>466</v>
      </c>
      <c r="K165" s="29" t="e">
        <f t="shared" ca="1" si="2"/>
        <v>#NAME?</v>
      </c>
      <c r="L165" s="36">
        <v>323</v>
      </c>
      <c r="M165" s="29" t="e">
        <f t="shared" ca="1" si="3"/>
        <v>#NAME?</v>
      </c>
      <c r="N165" s="37">
        <v>17.05</v>
      </c>
      <c r="O165" s="38">
        <v>38.6</v>
      </c>
      <c r="P165" s="38">
        <v>35.29</v>
      </c>
      <c r="Q165" s="38">
        <v>17.78</v>
      </c>
      <c r="R165" s="38">
        <v>0</v>
      </c>
      <c r="S165" s="38">
        <v>0</v>
      </c>
      <c r="T165" s="39">
        <v>0</v>
      </c>
    </row>
    <row r="166" spans="1:20" ht="30.75" customHeight="1">
      <c r="A166" s="49"/>
      <c r="B166" s="52" t="s">
        <v>28</v>
      </c>
      <c r="C166" s="52" t="s">
        <v>31</v>
      </c>
      <c r="D166" s="52" t="s">
        <v>53</v>
      </c>
      <c r="E166" s="53"/>
      <c r="F166" s="36">
        <v>409</v>
      </c>
      <c r="G166" s="28" t="e">
        <f t="shared" ca="1" si="0"/>
        <v>#NAME?</v>
      </c>
      <c r="H166" s="36">
        <v>402</v>
      </c>
      <c r="I166" s="29" t="e">
        <f t="shared" ca="1" si="1"/>
        <v>#NAME?</v>
      </c>
      <c r="J166" s="36">
        <v>468</v>
      </c>
      <c r="K166" s="29" t="e">
        <f t="shared" ca="1" si="2"/>
        <v>#NAME?</v>
      </c>
      <c r="L166" s="36">
        <v>385</v>
      </c>
      <c r="M166" s="29" t="e">
        <f t="shared" ca="1" si="3"/>
        <v>#NAME?</v>
      </c>
      <c r="N166" s="37">
        <v>17.18</v>
      </c>
      <c r="O166" s="38">
        <v>33.33</v>
      </c>
      <c r="P166" s="38">
        <v>27.45</v>
      </c>
      <c r="Q166" s="38">
        <v>15.56</v>
      </c>
      <c r="R166" s="38">
        <v>11.11</v>
      </c>
      <c r="S166" s="38">
        <v>0</v>
      </c>
      <c r="T166" s="39">
        <v>7.78</v>
      </c>
    </row>
    <row r="167" spans="1:20" ht="30.75" customHeight="1">
      <c r="A167" s="49"/>
      <c r="B167" s="52" t="s">
        <v>36</v>
      </c>
      <c r="C167" s="52" t="s">
        <v>19</v>
      </c>
      <c r="D167" s="52" t="s">
        <v>58</v>
      </c>
      <c r="E167" s="53"/>
      <c r="F167" s="36">
        <v>461</v>
      </c>
      <c r="G167" s="28" t="e">
        <f t="shared" ca="1" si="0"/>
        <v>#NAME?</v>
      </c>
      <c r="H167" s="36">
        <v>389</v>
      </c>
      <c r="I167" s="29" t="e">
        <f t="shared" ca="1" si="1"/>
        <v>#NAME?</v>
      </c>
      <c r="J167" s="36">
        <v>475</v>
      </c>
      <c r="K167" s="29" t="e">
        <f t="shared" ca="1" si="2"/>
        <v>#NAME?</v>
      </c>
      <c r="L167" s="36">
        <v>415</v>
      </c>
      <c r="M167" s="29" t="e">
        <f t="shared" ca="1" si="3"/>
        <v>#NAME?</v>
      </c>
      <c r="N167" s="37">
        <v>15.23</v>
      </c>
      <c r="O167" s="38">
        <v>26.32</v>
      </c>
      <c r="P167" s="38">
        <v>33.33</v>
      </c>
      <c r="Q167" s="38">
        <v>2.2200000000000002</v>
      </c>
      <c r="R167" s="38">
        <v>29.63</v>
      </c>
      <c r="S167" s="38">
        <v>0</v>
      </c>
      <c r="T167" s="39">
        <v>34.44</v>
      </c>
    </row>
    <row r="168" spans="1:20" ht="30.75" customHeight="1">
      <c r="A168" s="49"/>
      <c r="B168" s="52" t="s">
        <v>28</v>
      </c>
      <c r="C168" s="52" t="s">
        <v>19</v>
      </c>
      <c r="D168" s="52" t="s">
        <v>79</v>
      </c>
      <c r="E168" s="53"/>
      <c r="F168" s="36">
        <v>426</v>
      </c>
      <c r="G168" s="28" t="e">
        <f t="shared" ca="1" si="0"/>
        <v>#NAME?</v>
      </c>
      <c r="H168" s="36">
        <v>360</v>
      </c>
      <c r="I168" s="29" t="e">
        <f t="shared" ca="1" si="1"/>
        <v>#NAME?</v>
      </c>
      <c r="J168" s="36">
        <v>480</v>
      </c>
      <c r="K168" s="29" t="e">
        <f t="shared" ca="1" si="2"/>
        <v>#NAME?</v>
      </c>
      <c r="L168" s="36">
        <v>371</v>
      </c>
      <c r="M168" s="29" t="e">
        <f t="shared" ca="1" si="3"/>
        <v>#NAME?</v>
      </c>
      <c r="N168" s="37">
        <v>18.850000000000001</v>
      </c>
      <c r="O168" s="38">
        <v>29.82</v>
      </c>
      <c r="P168" s="38">
        <v>35.29</v>
      </c>
      <c r="Q168" s="38">
        <v>0</v>
      </c>
      <c r="R168" s="38">
        <v>22.22</v>
      </c>
      <c r="S168" s="38">
        <v>0</v>
      </c>
      <c r="T168" s="39">
        <v>0</v>
      </c>
    </row>
    <row r="169" spans="1:20" ht="30.75" customHeight="1">
      <c r="A169" s="49"/>
      <c r="B169" s="52"/>
      <c r="C169" s="52"/>
      <c r="D169" s="52"/>
      <c r="E169" s="53"/>
      <c r="F169" s="36">
        <v>372</v>
      </c>
      <c r="G169" s="28" t="e">
        <f t="shared" ca="1" si="0"/>
        <v>#NAME?</v>
      </c>
      <c r="H169" s="36">
        <v>327</v>
      </c>
      <c r="I169" s="29" t="e">
        <f t="shared" ca="1" si="1"/>
        <v>#NAME?</v>
      </c>
      <c r="J169" s="36">
        <v>484</v>
      </c>
      <c r="K169" s="29" t="e">
        <f t="shared" ca="1" si="2"/>
        <v>#NAME?</v>
      </c>
      <c r="L169" s="36">
        <v>420</v>
      </c>
      <c r="M169" s="29" t="e">
        <f t="shared" ca="1" si="3"/>
        <v>#NAME?</v>
      </c>
      <c r="N169" s="37">
        <v>18.739999999999998</v>
      </c>
      <c r="O169" s="38">
        <v>10.53</v>
      </c>
      <c r="P169" s="38">
        <v>41.18</v>
      </c>
      <c r="Q169" s="38">
        <v>15.56</v>
      </c>
      <c r="R169" s="38">
        <v>7.41</v>
      </c>
      <c r="S169" s="38">
        <v>0</v>
      </c>
      <c r="T169" s="39">
        <v>48.89</v>
      </c>
    </row>
    <row r="170" spans="1:20" ht="30.75" customHeight="1">
      <c r="A170" s="49"/>
      <c r="B170" s="52" t="s">
        <v>36</v>
      </c>
      <c r="C170" s="52" t="s">
        <v>19</v>
      </c>
      <c r="D170" s="52" t="s">
        <v>39</v>
      </c>
      <c r="E170" s="53"/>
      <c r="F170" s="36">
        <v>556</v>
      </c>
      <c r="G170" s="28" t="e">
        <f t="shared" ca="1" si="0"/>
        <v>#NAME?</v>
      </c>
      <c r="H170" s="36">
        <v>555</v>
      </c>
      <c r="I170" s="29" t="e">
        <f t="shared" ca="1" si="1"/>
        <v>#NAME?</v>
      </c>
      <c r="J170" s="36">
        <v>503</v>
      </c>
      <c r="K170" s="29" t="e">
        <f t="shared" ca="1" si="2"/>
        <v>#NAME?</v>
      </c>
      <c r="L170" s="36">
        <v>469</v>
      </c>
      <c r="M170" s="29" t="e">
        <f t="shared" ca="1" si="3"/>
        <v>#NAME?</v>
      </c>
      <c r="N170" s="37">
        <v>17.28</v>
      </c>
      <c r="O170" s="38">
        <v>36.840000000000003</v>
      </c>
      <c r="P170" s="38">
        <v>15.69</v>
      </c>
      <c r="Q170" s="38">
        <v>8.89</v>
      </c>
      <c r="R170" s="38">
        <v>22.22</v>
      </c>
      <c r="S170" s="38">
        <v>0</v>
      </c>
      <c r="T170" s="39">
        <v>0</v>
      </c>
    </row>
    <row r="171" spans="1:20" ht="30.75" customHeight="1">
      <c r="A171" s="49"/>
      <c r="B171" s="52" t="s">
        <v>28</v>
      </c>
      <c r="C171" s="52" t="s">
        <v>19</v>
      </c>
      <c r="D171" s="52" t="s">
        <v>74</v>
      </c>
      <c r="E171" s="53"/>
      <c r="F171" s="36">
        <v>354</v>
      </c>
      <c r="G171" s="28" t="e">
        <f t="shared" ca="1" si="0"/>
        <v>#NAME?</v>
      </c>
      <c r="H171" s="36">
        <v>316</v>
      </c>
      <c r="I171" s="29" t="e">
        <f t="shared" ca="1" si="1"/>
        <v>#NAME?</v>
      </c>
      <c r="J171" s="36">
        <v>518</v>
      </c>
      <c r="K171" s="29" t="e">
        <f t="shared" ca="1" si="2"/>
        <v>#NAME?</v>
      </c>
      <c r="L171" s="36">
        <v>390</v>
      </c>
      <c r="M171" s="29" t="e">
        <f t="shared" ca="1" si="3"/>
        <v>#NAME?</v>
      </c>
      <c r="N171" s="37">
        <v>16.440000000000001</v>
      </c>
      <c r="O171" s="38">
        <v>15.79</v>
      </c>
      <c r="P171" s="38">
        <v>41.18</v>
      </c>
      <c r="Q171" s="38">
        <v>17.78</v>
      </c>
      <c r="R171" s="38">
        <v>-7.4</v>
      </c>
      <c r="S171" s="38">
        <v>3.51</v>
      </c>
      <c r="T171" s="39">
        <v>76.67</v>
      </c>
    </row>
    <row r="172" spans="1:20" ht="30.75" customHeight="1">
      <c r="A172" s="49"/>
      <c r="B172" s="52" t="s">
        <v>60</v>
      </c>
      <c r="C172" s="52"/>
      <c r="D172" s="52"/>
      <c r="E172" s="53"/>
      <c r="F172" s="36">
        <v>405</v>
      </c>
      <c r="G172" s="28" t="e">
        <f t="shared" ca="1" si="0"/>
        <v>#NAME?</v>
      </c>
      <c r="H172" s="36">
        <v>371</v>
      </c>
      <c r="I172" s="29" t="e">
        <f t="shared" ca="1" si="1"/>
        <v>#NAME?</v>
      </c>
      <c r="J172" s="36">
        <v>521</v>
      </c>
      <c r="K172" s="29" t="e">
        <f t="shared" ca="1" si="2"/>
        <v>#NAME?</v>
      </c>
      <c r="L172" s="36">
        <v>383</v>
      </c>
      <c r="M172" s="29" t="e">
        <f t="shared" ca="1" si="3"/>
        <v>#NAME?</v>
      </c>
      <c r="N172" s="37">
        <v>17.48</v>
      </c>
      <c r="O172" s="38">
        <v>28.07</v>
      </c>
      <c r="P172" s="38">
        <v>33.33</v>
      </c>
      <c r="Q172" s="38">
        <v>10.42</v>
      </c>
      <c r="R172" s="38">
        <v>3.7</v>
      </c>
      <c r="S172" s="38">
        <v>-5.25</v>
      </c>
      <c r="T172" s="39">
        <v>51.11</v>
      </c>
    </row>
    <row r="173" spans="1:20" ht="30.75" customHeight="1">
      <c r="A173" s="49"/>
      <c r="B173" s="50"/>
      <c r="C173" s="50"/>
      <c r="D173" s="50"/>
      <c r="E173" s="51" t="s">
        <v>80</v>
      </c>
      <c r="F173" s="43">
        <v>459</v>
      </c>
      <c r="G173" s="44" t="e">
        <f t="shared" ca="1" si="0"/>
        <v>#NAME?</v>
      </c>
      <c r="H173" s="43">
        <v>431</v>
      </c>
      <c r="I173" s="45" t="e">
        <f t="shared" ca="1" si="1"/>
        <v>#NAME?</v>
      </c>
      <c r="J173" s="43">
        <v>522</v>
      </c>
      <c r="K173" s="45" t="e">
        <f t="shared" ca="1" si="2"/>
        <v>#NAME?</v>
      </c>
      <c r="L173" s="43">
        <v>429</v>
      </c>
      <c r="M173" s="45" t="e">
        <f t="shared" ca="1" si="3"/>
        <v>#NAME?</v>
      </c>
      <c r="N173" s="37">
        <v>16.59</v>
      </c>
      <c r="O173" s="46">
        <v>31.58</v>
      </c>
      <c r="P173" s="46">
        <v>33.33</v>
      </c>
      <c r="Q173" s="46">
        <v>15.56</v>
      </c>
      <c r="R173" s="46">
        <v>14.81</v>
      </c>
      <c r="S173" s="46">
        <v>0</v>
      </c>
      <c r="T173" s="47">
        <v>0</v>
      </c>
    </row>
    <row r="174" spans="1:20" ht="30.75" customHeight="1">
      <c r="A174" s="49"/>
      <c r="B174" s="52" t="s">
        <v>36</v>
      </c>
      <c r="C174" s="52" t="s">
        <v>31</v>
      </c>
      <c r="D174" s="52" t="s">
        <v>53</v>
      </c>
      <c r="E174" s="53"/>
      <c r="F174" s="36">
        <v>468</v>
      </c>
      <c r="G174" s="28" t="e">
        <f t="shared" ca="1" si="0"/>
        <v>#NAME?</v>
      </c>
      <c r="H174" s="36">
        <v>386</v>
      </c>
      <c r="I174" s="29" t="e">
        <f t="shared" ca="1" si="1"/>
        <v>#NAME?</v>
      </c>
      <c r="J174" s="36">
        <v>523</v>
      </c>
      <c r="K174" s="29" t="e">
        <f t="shared" ca="1" si="2"/>
        <v>#NAME?</v>
      </c>
      <c r="L174" s="36">
        <v>439</v>
      </c>
      <c r="M174" s="29" t="e">
        <f t="shared" ca="1" si="3"/>
        <v>#NAME?</v>
      </c>
      <c r="N174" s="37">
        <v>17.079999999999998</v>
      </c>
      <c r="O174" s="38">
        <v>21.05</v>
      </c>
      <c r="P174" s="38">
        <v>35.29</v>
      </c>
      <c r="Q174" s="38">
        <v>0</v>
      </c>
      <c r="R174" s="38">
        <v>22.22</v>
      </c>
      <c r="S174" s="38">
        <v>0</v>
      </c>
      <c r="T174" s="39">
        <v>47.78</v>
      </c>
    </row>
    <row r="175" spans="1:20" ht="30.75" customHeight="1">
      <c r="A175" s="49"/>
      <c r="B175" s="52" t="s">
        <v>28</v>
      </c>
      <c r="C175" s="52" t="s">
        <v>81</v>
      </c>
      <c r="D175" s="52" t="s">
        <v>58</v>
      </c>
      <c r="E175" s="53"/>
      <c r="F175" s="36">
        <v>398</v>
      </c>
      <c r="G175" s="28" t="e">
        <f t="shared" ca="1" si="0"/>
        <v>#NAME?</v>
      </c>
      <c r="H175" s="36">
        <v>317</v>
      </c>
      <c r="I175" s="29" t="e">
        <f t="shared" ca="1" si="1"/>
        <v>#NAME?</v>
      </c>
      <c r="J175" s="36">
        <v>531</v>
      </c>
      <c r="K175" s="29" t="e">
        <f t="shared" ca="1" si="2"/>
        <v>#NAME?</v>
      </c>
      <c r="L175" s="36">
        <v>386</v>
      </c>
      <c r="M175" s="29" t="e">
        <f t="shared" ca="1" si="3"/>
        <v>#NAME?</v>
      </c>
      <c r="N175" s="37">
        <v>15.08</v>
      </c>
      <c r="O175" s="38">
        <v>21.05</v>
      </c>
      <c r="P175" s="38">
        <v>45.1</v>
      </c>
      <c r="Q175" s="38">
        <v>6.25</v>
      </c>
      <c r="R175" s="38">
        <v>11.11</v>
      </c>
      <c r="S175" s="38">
        <v>0</v>
      </c>
      <c r="T175" s="39">
        <v>61.11</v>
      </c>
    </row>
    <row r="176" spans="1:20" ht="30.75" customHeight="1">
      <c r="A176" s="49"/>
      <c r="B176" s="50"/>
      <c r="C176" s="50"/>
      <c r="D176" s="50"/>
      <c r="E176" s="51" t="s">
        <v>82</v>
      </c>
      <c r="F176" s="43">
        <v>571</v>
      </c>
      <c r="G176" s="44" t="e">
        <f t="shared" ca="1" si="0"/>
        <v>#NAME?</v>
      </c>
      <c r="H176" s="43">
        <v>553</v>
      </c>
      <c r="I176" s="45" t="e">
        <f t="shared" ca="1" si="1"/>
        <v>#NAME?</v>
      </c>
      <c r="J176" s="43">
        <v>531</v>
      </c>
      <c r="K176" s="45" t="e">
        <f t="shared" ca="1" si="2"/>
        <v>#NAME?</v>
      </c>
      <c r="L176" s="43">
        <v>479</v>
      </c>
      <c r="M176" s="45" t="e">
        <f t="shared" ca="1" si="3"/>
        <v>#NAME?</v>
      </c>
      <c r="N176" s="37">
        <v>18.82</v>
      </c>
      <c r="O176" s="46">
        <v>35.090000000000003</v>
      </c>
      <c r="P176" s="46">
        <v>17.649999999999999</v>
      </c>
      <c r="Q176" s="46">
        <v>4.4400000000000004</v>
      </c>
      <c r="R176" s="46">
        <v>22.22</v>
      </c>
      <c r="S176" s="46">
        <v>0</v>
      </c>
      <c r="T176" s="47">
        <v>13.33</v>
      </c>
    </row>
    <row r="177" spans="1:20" ht="30.75" customHeight="1">
      <c r="A177" s="49"/>
      <c r="B177" s="52"/>
      <c r="C177" s="52"/>
      <c r="D177" s="52"/>
      <c r="E177" s="53"/>
      <c r="F177" s="36">
        <v>395</v>
      </c>
      <c r="G177" s="28" t="e">
        <f t="shared" ca="1" si="0"/>
        <v>#NAME?</v>
      </c>
      <c r="H177" s="36">
        <v>385</v>
      </c>
      <c r="I177" s="29" t="e">
        <f t="shared" ca="1" si="1"/>
        <v>#NAME?</v>
      </c>
      <c r="J177" s="36">
        <v>532</v>
      </c>
      <c r="K177" s="29" t="e">
        <f t="shared" ca="1" si="2"/>
        <v>#NAME?</v>
      </c>
      <c r="L177" s="36">
        <v>382</v>
      </c>
      <c r="M177" s="29" t="e">
        <f t="shared" ca="1" si="3"/>
        <v>#NAME?</v>
      </c>
      <c r="N177" s="37">
        <v>17.420000000000002</v>
      </c>
      <c r="O177" s="38">
        <v>33.33</v>
      </c>
      <c r="P177" s="38">
        <v>33.33</v>
      </c>
      <c r="Q177" s="38">
        <v>22.22</v>
      </c>
      <c r="R177" s="38">
        <v>-7.4</v>
      </c>
      <c r="S177" s="38">
        <v>0</v>
      </c>
      <c r="T177" s="39">
        <v>0</v>
      </c>
    </row>
    <row r="178" spans="1:20" ht="30.75" customHeight="1">
      <c r="A178" s="49"/>
      <c r="B178" s="50"/>
      <c r="C178" s="50"/>
      <c r="D178" s="50"/>
      <c r="E178" s="51" t="s">
        <v>83</v>
      </c>
      <c r="F178" s="43">
        <v>427</v>
      </c>
      <c r="G178" s="44" t="e">
        <f t="shared" ca="1" si="0"/>
        <v>#NAME?</v>
      </c>
      <c r="H178" s="43">
        <v>359</v>
      </c>
      <c r="I178" s="45" t="e">
        <f t="shared" ca="1" si="1"/>
        <v>#NAME?</v>
      </c>
      <c r="J178" s="43">
        <v>532</v>
      </c>
      <c r="K178" s="45" t="e">
        <f t="shared" ca="1" si="2"/>
        <v>#NAME?</v>
      </c>
      <c r="L178" s="43">
        <v>357</v>
      </c>
      <c r="M178" s="45" t="e">
        <f t="shared" ca="1" si="3"/>
        <v>#NAME?</v>
      </c>
      <c r="N178" s="37">
        <v>15.95</v>
      </c>
      <c r="O178" s="46">
        <v>42.11</v>
      </c>
      <c r="P178" s="46">
        <v>39.22</v>
      </c>
      <c r="Q178" s="46">
        <v>6.67</v>
      </c>
      <c r="R178" s="46">
        <v>11.11</v>
      </c>
      <c r="S178" s="46">
        <v>0</v>
      </c>
      <c r="T178" s="47">
        <v>0</v>
      </c>
    </row>
    <row r="179" spans="1:20" ht="30.75" customHeight="1">
      <c r="A179" s="49"/>
      <c r="B179" s="52" t="s">
        <v>28</v>
      </c>
      <c r="C179" s="52" t="s">
        <v>29</v>
      </c>
      <c r="D179" s="52" t="s">
        <v>74</v>
      </c>
      <c r="E179" s="53"/>
      <c r="F179" s="36">
        <v>619</v>
      </c>
      <c r="G179" s="28" t="e">
        <f t="shared" ca="1" si="0"/>
        <v>#NAME?</v>
      </c>
      <c r="H179" s="36">
        <v>806</v>
      </c>
      <c r="I179" s="29" t="e">
        <f t="shared" ca="1" si="1"/>
        <v>#NAME?</v>
      </c>
      <c r="J179" s="36">
        <v>547</v>
      </c>
      <c r="K179" s="29" t="e">
        <f t="shared" ca="1" si="2"/>
        <v>#NAME?</v>
      </c>
      <c r="L179" s="36">
        <v>705</v>
      </c>
      <c r="M179" s="29" t="e">
        <f t="shared" ca="1" si="3"/>
        <v>#NAME?</v>
      </c>
      <c r="N179" s="37">
        <v>17.55</v>
      </c>
      <c r="O179" s="38">
        <v>15.79</v>
      </c>
      <c r="P179" s="38">
        <v>0</v>
      </c>
      <c r="Q179" s="38">
        <v>26.67</v>
      </c>
      <c r="R179" s="38">
        <v>7.41</v>
      </c>
      <c r="S179" s="38">
        <v>5.26</v>
      </c>
      <c r="T179" s="39">
        <v>72.22</v>
      </c>
    </row>
    <row r="180" spans="1:20" ht="30.75" customHeight="1">
      <c r="A180" s="49"/>
      <c r="B180" s="50" t="s">
        <v>28</v>
      </c>
      <c r="C180" s="50" t="s">
        <v>29</v>
      </c>
      <c r="D180" s="50" t="s">
        <v>44</v>
      </c>
      <c r="E180" s="51" t="s">
        <v>84</v>
      </c>
      <c r="F180" s="43">
        <v>650</v>
      </c>
      <c r="G180" s="44" t="e">
        <f t="shared" ca="1" si="0"/>
        <v>#NAME?</v>
      </c>
      <c r="H180" s="43">
        <v>717</v>
      </c>
      <c r="I180" s="45" t="e">
        <f t="shared" ca="1" si="1"/>
        <v>#NAME?</v>
      </c>
      <c r="J180" s="43">
        <v>558</v>
      </c>
      <c r="K180" s="45" t="e">
        <f t="shared" ca="1" si="2"/>
        <v>#NAME?</v>
      </c>
      <c r="L180" s="43">
        <v>553</v>
      </c>
      <c r="M180" s="45" t="e">
        <f t="shared" ca="1" si="3"/>
        <v>#NAME?</v>
      </c>
      <c r="N180" s="37">
        <v>15.58</v>
      </c>
      <c r="O180" s="46">
        <v>40.35</v>
      </c>
      <c r="P180" s="46">
        <v>7.84</v>
      </c>
      <c r="Q180" s="46">
        <v>13.33</v>
      </c>
      <c r="R180" s="46">
        <v>22.22</v>
      </c>
      <c r="S180" s="46">
        <v>0</v>
      </c>
      <c r="T180" s="47">
        <v>20</v>
      </c>
    </row>
    <row r="181" spans="1:20" ht="30.75" customHeight="1">
      <c r="A181" s="49"/>
      <c r="B181" s="52" t="s">
        <v>62</v>
      </c>
      <c r="C181" s="52"/>
      <c r="D181" s="52"/>
      <c r="E181" s="53"/>
      <c r="F181" s="36">
        <v>464</v>
      </c>
      <c r="G181" s="28" t="e">
        <f t="shared" ca="1" si="0"/>
        <v>#NAME?</v>
      </c>
      <c r="H181" s="36">
        <v>600</v>
      </c>
      <c r="I181" s="29" t="e">
        <f t="shared" ca="1" si="1"/>
        <v>#NAME?</v>
      </c>
      <c r="J181" s="36">
        <v>578</v>
      </c>
      <c r="K181" s="29" t="e">
        <f t="shared" ca="1" si="2"/>
        <v>#NAME?</v>
      </c>
      <c r="L181" s="36">
        <v>773</v>
      </c>
      <c r="M181" s="29" t="e">
        <f t="shared" ca="1" si="3"/>
        <v>#NAME?</v>
      </c>
      <c r="N181" s="37">
        <v>15.6</v>
      </c>
      <c r="O181" s="38">
        <v>0</v>
      </c>
      <c r="P181" s="38">
        <v>27.45</v>
      </c>
      <c r="Q181" s="38">
        <v>55.56</v>
      </c>
      <c r="R181" s="38">
        <v>0</v>
      </c>
      <c r="S181" s="38">
        <v>0</v>
      </c>
      <c r="T181" s="39">
        <v>0</v>
      </c>
    </row>
    <row r="182" spans="1:20" ht="30.75" customHeight="1">
      <c r="A182" s="49"/>
      <c r="B182" s="52" t="s">
        <v>28</v>
      </c>
      <c r="C182" s="52" t="s">
        <v>19</v>
      </c>
      <c r="D182" s="52" t="s">
        <v>85</v>
      </c>
      <c r="E182" s="53"/>
      <c r="F182" s="36">
        <v>739</v>
      </c>
      <c r="G182" s="28" t="e">
        <f t="shared" ca="1" si="0"/>
        <v>#NAME?</v>
      </c>
      <c r="H182" s="36">
        <v>715</v>
      </c>
      <c r="I182" s="29" t="e">
        <f t="shared" ca="1" si="1"/>
        <v>#NAME?</v>
      </c>
      <c r="J182" s="36">
        <v>585</v>
      </c>
      <c r="K182" s="29" t="e">
        <f t="shared" ca="1" si="2"/>
        <v>#NAME?</v>
      </c>
      <c r="L182" s="36">
        <v>654</v>
      </c>
      <c r="M182" s="29" t="e">
        <f t="shared" ca="1" si="3"/>
        <v>#NAME?</v>
      </c>
      <c r="N182" s="37">
        <v>15.85</v>
      </c>
      <c r="O182" s="38">
        <v>26.67</v>
      </c>
      <c r="P182" s="38">
        <v>13.73</v>
      </c>
      <c r="Q182" s="38">
        <v>8.33</v>
      </c>
      <c r="R182" s="38">
        <v>33.33</v>
      </c>
      <c r="S182" s="38">
        <v>1.75</v>
      </c>
      <c r="T182" s="39">
        <v>0</v>
      </c>
    </row>
    <row r="183" spans="1:20" ht="30.75" customHeight="1">
      <c r="A183" s="49"/>
      <c r="B183" s="50" t="s">
        <v>28</v>
      </c>
      <c r="C183" s="50" t="s">
        <v>30</v>
      </c>
      <c r="D183" s="50" t="s">
        <v>44</v>
      </c>
      <c r="E183" s="51" t="s">
        <v>86</v>
      </c>
      <c r="F183" s="43">
        <v>613</v>
      </c>
      <c r="G183" s="44" t="e">
        <f t="shared" ca="1" si="0"/>
        <v>#NAME?</v>
      </c>
      <c r="H183" s="43">
        <v>859</v>
      </c>
      <c r="I183" s="45" t="e">
        <f t="shared" ca="1" si="1"/>
        <v>#NAME?</v>
      </c>
      <c r="J183" s="43">
        <v>588</v>
      </c>
      <c r="K183" s="45" t="e">
        <f t="shared" ca="1" si="2"/>
        <v>#NAME?</v>
      </c>
      <c r="L183" s="43">
        <v>880</v>
      </c>
      <c r="M183" s="45" t="e">
        <f t="shared" ca="1" si="3"/>
        <v>#NAME?</v>
      </c>
      <c r="N183" s="37">
        <v>14.08</v>
      </c>
      <c r="O183" s="46">
        <v>10.53</v>
      </c>
      <c r="P183" s="46">
        <v>11.76</v>
      </c>
      <c r="Q183" s="46">
        <v>50</v>
      </c>
      <c r="R183" s="46">
        <v>14.81</v>
      </c>
      <c r="S183" s="46">
        <v>3.51</v>
      </c>
      <c r="T183" s="47">
        <v>0</v>
      </c>
    </row>
    <row r="184" spans="1:20" ht="30.75" customHeight="1">
      <c r="A184" s="49"/>
      <c r="B184" s="52" t="s">
        <v>28</v>
      </c>
      <c r="C184" s="52" t="s">
        <v>30</v>
      </c>
      <c r="D184" s="52" t="s">
        <v>53</v>
      </c>
      <c r="E184" s="53"/>
      <c r="F184" s="36">
        <v>596</v>
      </c>
      <c r="G184" s="28" t="e">
        <f t="shared" ca="1" si="0"/>
        <v>#NAME?</v>
      </c>
      <c r="H184" s="36">
        <v>492</v>
      </c>
      <c r="I184" s="29" t="e">
        <f t="shared" ca="1" si="1"/>
        <v>#NAME?</v>
      </c>
      <c r="J184" s="36">
        <v>610</v>
      </c>
      <c r="K184" s="29" t="e">
        <f t="shared" ca="1" si="2"/>
        <v>#NAME?</v>
      </c>
      <c r="L184" s="36">
        <v>476</v>
      </c>
      <c r="M184" s="29" t="e">
        <f t="shared" ca="1" si="3"/>
        <v>#NAME?</v>
      </c>
      <c r="N184" s="37">
        <v>15.04</v>
      </c>
      <c r="O184" s="38">
        <v>35.090000000000003</v>
      </c>
      <c r="P184" s="38">
        <v>29.41</v>
      </c>
      <c r="Q184" s="38">
        <v>0</v>
      </c>
      <c r="R184" s="38">
        <v>22.22</v>
      </c>
      <c r="S184" s="38">
        <v>0</v>
      </c>
      <c r="T184" s="39">
        <v>12.22</v>
      </c>
    </row>
    <row r="185" spans="1:20" ht="30.75" customHeight="1">
      <c r="A185" s="49"/>
      <c r="B185" s="50" t="s">
        <v>28</v>
      </c>
      <c r="C185" s="50" t="s">
        <v>19</v>
      </c>
      <c r="D185" s="50" t="s">
        <v>79</v>
      </c>
      <c r="E185" s="51" t="s">
        <v>87</v>
      </c>
      <c r="F185" s="43">
        <v>749</v>
      </c>
      <c r="G185" s="44" t="e">
        <f t="shared" ca="1" si="0"/>
        <v>#NAME?</v>
      </c>
      <c r="H185" s="43">
        <v>904</v>
      </c>
      <c r="I185" s="45" t="e">
        <f t="shared" ca="1" si="1"/>
        <v>#NAME?</v>
      </c>
      <c r="J185" s="43">
        <v>610</v>
      </c>
      <c r="K185" s="45" t="e">
        <f t="shared" ca="1" si="2"/>
        <v>#NAME?</v>
      </c>
      <c r="L185" s="43">
        <v>775</v>
      </c>
      <c r="M185" s="45" t="e">
        <f t="shared" ca="1" si="3"/>
        <v>#NAME?</v>
      </c>
      <c r="N185" s="37">
        <v>14.96</v>
      </c>
      <c r="O185" s="46">
        <v>24.56</v>
      </c>
      <c r="P185" s="46">
        <v>5.88</v>
      </c>
      <c r="Q185" s="46">
        <v>24.44</v>
      </c>
      <c r="R185" s="46">
        <v>25.93</v>
      </c>
      <c r="S185" s="46">
        <v>0</v>
      </c>
      <c r="T185" s="47">
        <v>22.22</v>
      </c>
    </row>
    <row r="186" spans="1:20" ht="30.75" customHeight="1">
      <c r="A186" s="49"/>
      <c r="B186" s="50" t="s">
        <v>28</v>
      </c>
      <c r="C186" s="50" t="s">
        <v>29</v>
      </c>
      <c r="D186" s="50" t="s">
        <v>44</v>
      </c>
      <c r="E186" s="51" t="s">
        <v>88</v>
      </c>
      <c r="F186" s="43">
        <v>509</v>
      </c>
      <c r="G186" s="44" t="e">
        <f t="shared" ca="1" si="0"/>
        <v>#NAME?</v>
      </c>
      <c r="H186" s="43">
        <v>466</v>
      </c>
      <c r="I186" s="45" t="e">
        <f t="shared" ca="1" si="1"/>
        <v>#NAME?</v>
      </c>
      <c r="J186" s="43">
        <v>622</v>
      </c>
      <c r="K186" s="45" t="e">
        <f t="shared" ca="1" si="2"/>
        <v>#NAME?</v>
      </c>
      <c r="L186" s="43">
        <v>405</v>
      </c>
      <c r="M186" s="45" t="e">
        <f t="shared" ca="1" si="3"/>
        <v>#NAME?</v>
      </c>
      <c r="N186" s="37">
        <v>17.55</v>
      </c>
      <c r="O186" s="46">
        <v>45.61</v>
      </c>
      <c r="P186" s="46">
        <v>27.45</v>
      </c>
      <c r="Q186" s="46">
        <v>6.67</v>
      </c>
      <c r="R186" s="46">
        <v>0</v>
      </c>
      <c r="S186" s="46">
        <v>0</v>
      </c>
      <c r="T186" s="47">
        <v>12.22</v>
      </c>
    </row>
    <row r="187" spans="1:20" ht="30.75" customHeight="1">
      <c r="A187" s="49"/>
      <c r="B187" s="52" t="s">
        <v>36</v>
      </c>
      <c r="C187" s="52" t="s">
        <v>19</v>
      </c>
      <c r="D187" s="52" t="s">
        <v>89</v>
      </c>
      <c r="E187" s="53"/>
      <c r="F187" s="36">
        <v>515</v>
      </c>
      <c r="G187" s="28" t="e">
        <f t="shared" ca="1" si="0"/>
        <v>#NAME?</v>
      </c>
      <c r="H187" s="36">
        <v>537</v>
      </c>
      <c r="I187" s="29" t="e">
        <f t="shared" ca="1" si="1"/>
        <v>#NAME?</v>
      </c>
      <c r="J187" s="36">
        <v>629</v>
      </c>
      <c r="K187" s="29" t="e">
        <f t="shared" ca="1" si="2"/>
        <v>#NAME?</v>
      </c>
      <c r="L187" s="36">
        <v>502</v>
      </c>
      <c r="M187" s="29" t="e">
        <f t="shared" ca="1" si="3"/>
        <v>#NAME?</v>
      </c>
      <c r="N187" s="37">
        <v>17.190000000000001</v>
      </c>
      <c r="O187" s="38">
        <v>31.58</v>
      </c>
      <c r="P187" s="38">
        <v>23.53</v>
      </c>
      <c r="Q187" s="38">
        <v>20.83</v>
      </c>
      <c r="R187" s="38">
        <v>-3.69</v>
      </c>
      <c r="S187" s="38">
        <v>0</v>
      </c>
      <c r="T187" s="39">
        <v>7.78</v>
      </c>
    </row>
    <row r="188" spans="1:20" ht="30.75" customHeight="1">
      <c r="A188" s="49"/>
      <c r="B188" s="54" t="s">
        <v>90</v>
      </c>
      <c r="C188" s="52" t="s">
        <v>29</v>
      </c>
      <c r="D188" s="52" t="s">
        <v>27</v>
      </c>
      <c r="E188" s="53"/>
      <c r="F188" s="36">
        <v>574</v>
      </c>
      <c r="G188" s="28" t="e">
        <f t="shared" ca="1" si="0"/>
        <v>#NAME?</v>
      </c>
      <c r="H188" s="36">
        <v>532</v>
      </c>
      <c r="I188" s="29" t="e">
        <f t="shared" ca="1" si="1"/>
        <v>#NAME?</v>
      </c>
      <c r="J188" s="36">
        <v>636</v>
      </c>
      <c r="K188" s="29" t="e">
        <f t="shared" ca="1" si="2"/>
        <v>#NAME?</v>
      </c>
      <c r="L188" s="36">
        <v>439</v>
      </c>
      <c r="M188" s="29" t="e">
        <f t="shared" ca="1" si="3"/>
        <v>#NAME?</v>
      </c>
      <c r="N188" s="37">
        <v>20</v>
      </c>
      <c r="O188" s="38">
        <v>41.67</v>
      </c>
      <c r="P188" s="38">
        <v>17.649999999999999</v>
      </c>
      <c r="Q188" s="38">
        <v>0</v>
      </c>
      <c r="R188" s="38">
        <v>0</v>
      </c>
      <c r="S188" s="38">
        <v>0</v>
      </c>
      <c r="T188" s="39">
        <v>23.33</v>
      </c>
    </row>
    <row r="189" spans="1:20" ht="30.75" customHeight="1">
      <c r="A189" s="49"/>
      <c r="B189" s="52" t="s">
        <v>28</v>
      </c>
      <c r="C189" s="52" t="s">
        <v>19</v>
      </c>
      <c r="D189" s="52" t="s">
        <v>85</v>
      </c>
      <c r="E189" s="53"/>
      <c r="F189" s="36">
        <v>588</v>
      </c>
      <c r="G189" s="28" t="e">
        <f t="shared" ca="1" si="0"/>
        <v>#NAME?</v>
      </c>
      <c r="H189" s="36">
        <v>524</v>
      </c>
      <c r="I189" s="29" t="e">
        <f t="shared" ca="1" si="1"/>
        <v>#NAME?</v>
      </c>
      <c r="J189" s="36">
        <v>645</v>
      </c>
      <c r="K189" s="29" t="e">
        <f t="shared" ca="1" si="2"/>
        <v>#NAME?</v>
      </c>
      <c r="L189" s="36">
        <v>751</v>
      </c>
      <c r="M189" s="29" t="e">
        <f t="shared" ca="1" si="3"/>
        <v>#NAME?</v>
      </c>
      <c r="N189" s="37">
        <v>15.01</v>
      </c>
      <c r="O189" s="38">
        <v>1.75</v>
      </c>
      <c r="P189" s="38">
        <v>40.74</v>
      </c>
      <c r="Q189" s="38">
        <v>25</v>
      </c>
      <c r="R189" s="38">
        <v>25.93</v>
      </c>
      <c r="S189" s="38">
        <v>-19.29</v>
      </c>
      <c r="T189" s="39">
        <v>11.11</v>
      </c>
    </row>
    <row r="190" spans="1:20" ht="30.75" customHeight="1">
      <c r="A190" s="49"/>
      <c r="B190" s="52"/>
      <c r="C190" s="52"/>
      <c r="D190" s="52"/>
      <c r="E190" s="53"/>
      <c r="F190" s="36">
        <v>605</v>
      </c>
      <c r="G190" s="28" t="e">
        <f t="shared" ca="1" si="0"/>
        <v>#NAME?</v>
      </c>
      <c r="H190" s="36">
        <v>583</v>
      </c>
      <c r="I190" s="29" t="e">
        <f t="shared" ca="1" si="1"/>
        <v>#NAME?</v>
      </c>
      <c r="J190" s="36">
        <v>678</v>
      </c>
      <c r="K190" s="29" t="e">
        <f t="shared" ca="1" si="2"/>
        <v>#NAME?</v>
      </c>
      <c r="L190" s="36">
        <v>452</v>
      </c>
      <c r="M190" s="29" t="e">
        <f t="shared" ca="1" si="3"/>
        <v>#NAME?</v>
      </c>
      <c r="N190" s="37">
        <v>17.170000000000002</v>
      </c>
      <c r="O190" s="38">
        <v>45.61</v>
      </c>
      <c r="P190" s="38">
        <v>15.69</v>
      </c>
      <c r="Q190" s="38">
        <v>4.4400000000000004</v>
      </c>
      <c r="R190" s="38">
        <v>-7.4</v>
      </c>
      <c r="S190" s="38">
        <v>3.51</v>
      </c>
      <c r="T190" s="39">
        <v>32.22</v>
      </c>
    </row>
    <row r="191" spans="1:20" ht="30.75" customHeight="1">
      <c r="A191" s="49"/>
      <c r="B191" s="52" t="s">
        <v>28</v>
      </c>
      <c r="C191" s="52" t="s">
        <v>30</v>
      </c>
      <c r="D191" s="52" t="s">
        <v>44</v>
      </c>
      <c r="E191" s="53"/>
      <c r="F191" s="36">
        <v>486</v>
      </c>
      <c r="G191" s="28" t="e">
        <f t="shared" ca="1" si="0"/>
        <v>#NAME?</v>
      </c>
      <c r="H191" s="36">
        <v>332</v>
      </c>
      <c r="I191" s="29" t="e">
        <f t="shared" ca="1" si="1"/>
        <v>#NAME?</v>
      </c>
      <c r="J191" s="36">
        <v>679</v>
      </c>
      <c r="K191" s="29" t="e">
        <f t="shared" ca="1" si="2"/>
        <v>#NAME?</v>
      </c>
      <c r="L191" s="36">
        <v>403</v>
      </c>
      <c r="M191" s="29" t="e">
        <f t="shared" ca="1" si="3"/>
        <v>#NAME?</v>
      </c>
      <c r="N191" s="37">
        <v>15.03</v>
      </c>
      <c r="O191" s="38">
        <v>28.07</v>
      </c>
      <c r="P191" s="38">
        <v>54.9</v>
      </c>
      <c r="Q191" s="38">
        <v>-4.43</v>
      </c>
      <c r="R191" s="38">
        <v>14.81</v>
      </c>
      <c r="S191" s="38">
        <v>0</v>
      </c>
      <c r="T191" s="39">
        <v>0</v>
      </c>
    </row>
    <row r="192" spans="1:20" ht="30.75" customHeight="1">
      <c r="A192" s="49"/>
      <c r="B192" s="52" t="s">
        <v>28</v>
      </c>
      <c r="C192" s="52" t="s">
        <v>30</v>
      </c>
      <c r="D192" s="52" t="s">
        <v>78</v>
      </c>
      <c r="E192" s="53"/>
      <c r="F192" s="36">
        <v>512</v>
      </c>
      <c r="G192" s="28" t="e">
        <f t="shared" ca="1" si="0"/>
        <v>#NAME?</v>
      </c>
      <c r="H192" s="36">
        <v>370</v>
      </c>
      <c r="I192" s="29" t="e">
        <f t="shared" ca="1" si="1"/>
        <v>#NAME?</v>
      </c>
      <c r="J192" s="36">
        <v>700</v>
      </c>
      <c r="K192" s="29" t="e">
        <f t="shared" ca="1" si="2"/>
        <v>#NAME?</v>
      </c>
      <c r="L192" s="36">
        <v>520</v>
      </c>
      <c r="M192" s="29" t="e">
        <f t="shared" ca="1" si="3"/>
        <v>#NAME?</v>
      </c>
      <c r="N192" s="37">
        <v>15.7</v>
      </c>
      <c r="O192" s="38">
        <v>12.28</v>
      </c>
      <c r="P192" s="38">
        <v>54.9</v>
      </c>
      <c r="Q192" s="38">
        <v>4.4400000000000004</v>
      </c>
      <c r="R192" s="38">
        <v>18.52</v>
      </c>
      <c r="S192" s="38">
        <v>0</v>
      </c>
      <c r="T192" s="39">
        <v>0</v>
      </c>
    </row>
    <row r="193" spans="1:20" ht="30.75" customHeight="1">
      <c r="A193" s="49"/>
      <c r="B193" s="52"/>
      <c r="C193" s="52"/>
      <c r="D193" s="52"/>
      <c r="E193" s="53"/>
      <c r="F193" s="36">
        <v>965</v>
      </c>
      <c r="G193" s="28" t="e">
        <f t="shared" ca="1" si="0"/>
        <v>#NAME?</v>
      </c>
      <c r="H193" s="36">
        <v>919</v>
      </c>
      <c r="I193" s="29" t="e">
        <f t="shared" ca="1" si="1"/>
        <v>#NAME?</v>
      </c>
      <c r="J193" s="36">
        <v>701</v>
      </c>
      <c r="K193" s="29" t="e">
        <f t="shared" ca="1" si="2"/>
        <v>#NAME?</v>
      </c>
      <c r="L193" s="36">
        <v>818</v>
      </c>
      <c r="M193" s="29" t="e">
        <f t="shared" ca="1" si="3"/>
        <v>#NAME?</v>
      </c>
      <c r="N193" s="37">
        <v>15.73</v>
      </c>
      <c r="O193" s="38">
        <v>26.32</v>
      </c>
      <c r="P193" s="38">
        <v>9.8000000000000007</v>
      </c>
      <c r="Q193" s="38">
        <v>0</v>
      </c>
      <c r="R193" s="38">
        <v>40.74</v>
      </c>
      <c r="S193" s="38">
        <v>0</v>
      </c>
      <c r="T193" s="39">
        <v>0</v>
      </c>
    </row>
    <row r="194" spans="1:20" ht="30.75" customHeight="1">
      <c r="A194" s="49"/>
      <c r="B194" s="52" t="s">
        <v>28</v>
      </c>
      <c r="C194" s="52" t="s">
        <v>19</v>
      </c>
      <c r="D194" s="52" t="s">
        <v>91</v>
      </c>
      <c r="E194" s="53"/>
      <c r="F194" s="36">
        <v>1148</v>
      </c>
      <c r="G194" s="28" t="e">
        <f t="shared" ca="1" si="0"/>
        <v>#NAME?</v>
      </c>
      <c r="H194" s="36">
        <v>1179</v>
      </c>
      <c r="I194" s="29" t="e">
        <f t="shared" ca="1" si="1"/>
        <v>#NAME?</v>
      </c>
      <c r="J194" s="36">
        <v>735</v>
      </c>
      <c r="K194" s="29" t="e">
        <f t="shared" ca="1" si="2"/>
        <v>#NAME?</v>
      </c>
      <c r="L194" s="36">
        <v>1146</v>
      </c>
      <c r="M194" s="29" t="e">
        <f t="shared" ca="1" si="3"/>
        <v>#NAME?</v>
      </c>
      <c r="N194" s="37">
        <v>16.989999999999998</v>
      </c>
      <c r="O194" s="38">
        <v>8.77</v>
      </c>
      <c r="P194" s="38">
        <v>3.7</v>
      </c>
      <c r="Q194" s="38">
        <v>5.88</v>
      </c>
      <c r="R194" s="38">
        <v>46.67</v>
      </c>
      <c r="S194" s="38">
        <v>0</v>
      </c>
      <c r="T194" s="39">
        <v>16.670000000000002</v>
      </c>
    </row>
    <row r="195" spans="1:20" ht="30.75" customHeight="1">
      <c r="A195" s="49"/>
      <c r="B195" s="52" t="s">
        <v>28</v>
      </c>
      <c r="C195" s="52" t="s">
        <v>31</v>
      </c>
      <c r="D195" s="52" t="s">
        <v>73</v>
      </c>
      <c r="E195" s="53"/>
      <c r="F195" s="36">
        <v>654</v>
      </c>
      <c r="G195" s="28" t="e">
        <f t="shared" ca="1" si="0"/>
        <v>#NAME?</v>
      </c>
      <c r="H195" s="36">
        <v>643</v>
      </c>
      <c r="I195" s="29" t="e">
        <f t="shared" ca="1" si="1"/>
        <v>#NAME?</v>
      </c>
      <c r="J195" s="36">
        <v>740</v>
      </c>
      <c r="K195" s="29" t="e">
        <f t="shared" ca="1" si="2"/>
        <v>#NAME?</v>
      </c>
      <c r="L195" s="36">
        <v>527</v>
      </c>
      <c r="M195" s="29" t="e">
        <f t="shared" ca="1" si="3"/>
        <v>#NAME?</v>
      </c>
      <c r="N195" s="37">
        <v>16.23</v>
      </c>
      <c r="O195" s="38">
        <v>40.35</v>
      </c>
      <c r="P195" s="38">
        <v>17.649999999999999</v>
      </c>
      <c r="Q195" s="38">
        <v>11.11</v>
      </c>
      <c r="R195" s="38">
        <v>0</v>
      </c>
      <c r="S195" s="38">
        <v>0</v>
      </c>
      <c r="T195" s="39">
        <v>15.56</v>
      </c>
    </row>
    <row r="196" spans="1:20" ht="30.75" customHeight="1">
      <c r="A196" s="49"/>
      <c r="B196" s="52" t="s">
        <v>28</v>
      </c>
      <c r="C196" s="52" t="s">
        <v>33</v>
      </c>
      <c r="D196" s="52" t="s">
        <v>73</v>
      </c>
      <c r="E196" s="53"/>
      <c r="F196" s="36">
        <v>600</v>
      </c>
      <c r="G196" s="28" t="e">
        <f t="shared" ca="1" si="0"/>
        <v>#NAME?</v>
      </c>
      <c r="H196" s="36">
        <v>545</v>
      </c>
      <c r="I196" s="29" t="e">
        <f t="shared" ca="1" si="1"/>
        <v>#NAME?</v>
      </c>
      <c r="J196" s="36">
        <v>754</v>
      </c>
      <c r="K196" s="29" t="e">
        <f t="shared" ca="1" si="2"/>
        <v>#NAME?</v>
      </c>
      <c r="L196" s="36">
        <v>591</v>
      </c>
      <c r="M196" s="29" t="e">
        <f t="shared" ca="1" si="3"/>
        <v>#NAME?</v>
      </c>
      <c r="N196" s="37">
        <v>19.170000000000002</v>
      </c>
      <c r="O196" s="38">
        <v>19.3</v>
      </c>
      <c r="P196" s="38">
        <v>29.41</v>
      </c>
      <c r="Q196" s="38">
        <v>13.33</v>
      </c>
      <c r="R196" s="38">
        <v>0</v>
      </c>
      <c r="S196" s="38">
        <v>-1.74</v>
      </c>
      <c r="T196" s="39">
        <v>16.670000000000002</v>
      </c>
    </row>
    <row r="197" spans="1:20" ht="30.75" customHeight="1">
      <c r="A197" s="49"/>
      <c r="B197" s="50"/>
      <c r="C197" s="50" t="s">
        <v>29</v>
      </c>
      <c r="D197" s="50" t="s">
        <v>44</v>
      </c>
      <c r="E197" s="51" t="s">
        <v>92</v>
      </c>
      <c r="F197" s="43">
        <v>635</v>
      </c>
      <c r="G197" s="44" t="e">
        <f t="shared" ca="1" si="0"/>
        <v>#NAME?</v>
      </c>
      <c r="H197" s="43">
        <v>685</v>
      </c>
      <c r="I197" s="45" t="e">
        <f t="shared" ca="1" si="1"/>
        <v>#NAME?</v>
      </c>
      <c r="J197" s="43">
        <v>763</v>
      </c>
      <c r="K197" s="45" t="e">
        <f t="shared" ca="1" si="2"/>
        <v>#NAME?</v>
      </c>
      <c r="L197" s="43">
        <v>686</v>
      </c>
      <c r="M197" s="45" t="e">
        <f t="shared" ca="1" si="3"/>
        <v>#NAME?</v>
      </c>
      <c r="N197" s="37">
        <v>14.44</v>
      </c>
      <c r="O197" s="46">
        <v>24.56</v>
      </c>
      <c r="P197" s="46">
        <v>25.49</v>
      </c>
      <c r="Q197" s="46">
        <v>31.25</v>
      </c>
      <c r="R197" s="46">
        <v>0</v>
      </c>
      <c r="S197" s="46">
        <v>0</v>
      </c>
      <c r="T197" s="47">
        <v>8.89</v>
      </c>
    </row>
    <row r="198" spans="1:20" ht="30.75" customHeight="1">
      <c r="A198" s="49"/>
      <c r="B198" s="52" t="s">
        <v>36</v>
      </c>
      <c r="C198" s="52" t="s">
        <v>33</v>
      </c>
      <c r="D198" s="52" t="s">
        <v>73</v>
      </c>
      <c r="E198" s="53"/>
      <c r="F198" s="36">
        <v>839</v>
      </c>
      <c r="G198" s="28" t="e">
        <f t="shared" ca="1" si="0"/>
        <v>#NAME?</v>
      </c>
      <c r="H198" s="36">
        <v>740</v>
      </c>
      <c r="I198" s="29" t="e">
        <f t="shared" ca="1" si="1"/>
        <v>#NAME?</v>
      </c>
      <c r="J198" s="36">
        <v>763</v>
      </c>
      <c r="K198" s="29" t="e">
        <f t="shared" ca="1" si="2"/>
        <v>#NAME?</v>
      </c>
      <c r="L198" s="36">
        <v>879</v>
      </c>
      <c r="M198" s="29" t="e">
        <f t="shared" ca="1" si="3"/>
        <v>#NAME?</v>
      </c>
      <c r="N198" s="37">
        <v>16.38</v>
      </c>
      <c r="O198" s="38">
        <v>8.77</v>
      </c>
      <c r="P198" s="38">
        <v>25.49</v>
      </c>
      <c r="Q198" s="38">
        <v>8.89</v>
      </c>
      <c r="R198" s="38">
        <v>33.33</v>
      </c>
      <c r="S198" s="38">
        <v>0</v>
      </c>
      <c r="T198" s="39">
        <v>0</v>
      </c>
    </row>
    <row r="199" spans="1:20" ht="30.75" customHeight="1">
      <c r="A199" s="49"/>
      <c r="B199" s="52" t="s">
        <v>28</v>
      </c>
      <c r="C199" s="52" t="s">
        <v>31</v>
      </c>
      <c r="D199" s="52" t="s">
        <v>39</v>
      </c>
      <c r="E199" s="53"/>
      <c r="F199" s="36">
        <v>853</v>
      </c>
      <c r="G199" s="28" t="e">
        <f t="shared" ca="1" si="0"/>
        <v>#NAME?</v>
      </c>
      <c r="H199" s="36">
        <v>782</v>
      </c>
      <c r="I199" s="29" t="e">
        <f t="shared" ca="1" si="1"/>
        <v>#NAME?</v>
      </c>
      <c r="J199" s="36">
        <v>778</v>
      </c>
      <c r="K199" s="29" t="e">
        <f t="shared" ca="1" si="2"/>
        <v>#NAME?</v>
      </c>
      <c r="L199" s="36">
        <v>694</v>
      </c>
      <c r="M199" s="29" t="e">
        <f t="shared" ca="1" si="3"/>
        <v>#NAME?</v>
      </c>
      <c r="N199" s="37">
        <v>17.72</v>
      </c>
      <c r="O199" s="38">
        <v>29.82</v>
      </c>
      <c r="P199" s="38">
        <v>15.69</v>
      </c>
      <c r="Q199" s="38">
        <v>0</v>
      </c>
      <c r="R199" s="38">
        <v>22.22</v>
      </c>
      <c r="S199" s="38">
        <v>0</v>
      </c>
      <c r="T199" s="39">
        <v>0</v>
      </c>
    </row>
    <row r="200" spans="1:20" ht="30.75" customHeight="1">
      <c r="A200" s="49"/>
      <c r="B200" s="50" t="s">
        <v>70</v>
      </c>
      <c r="C200" s="50"/>
      <c r="D200" s="50"/>
      <c r="E200" s="51" t="s">
        <v>93</v>
      </c>
      <c r="F200" s="43">
        <v>1033</v>
      </c>
      <c r="G200" s="44" t="e">
        <f t="shared" ca="1" si="0"/>
        <v>#NAME?</v>
      </c>
      <c r="H200" s="43">
        <v>1175</v>
      </c>
      <c r="I200" s="45" t="e">
        <f t="shared" ca="1" si="1"/>
        <v>#NAME?</v>
      </c>
      <c r="J200" s="43">
        <v>796</v>
      </c>
      <c r="K200" s="45" t="e">
        <f t="shared" ca="1" si="2"/>
        <v>#NAME?</v>
      </c>
      <c r="L200" s="43">
        <v>977</v>
      </c>
      <c r="M200" s="45" t="e">
        <f t="shared" ca="1" si="3"/>
        <v>#NAME?</v>
      </c>
      <c r="N200" s="37">
        <v>17.809999999999999</v>
      </c>
      <c r="O200" s="46">
        <v>17.54</v>
      </c>
      <c r="P200" s="46">
        <v>-7.83</v>
      </c>
      <c r="Q200" s="46">
        <v>4.4400000000000004</v>
      </c>
      <c r="R200" s="46">
        <v>18.52</v>
      </c>
      <c r="S200" s="46">
        <v>14.04</v>
      </c>
      <c r="T200" s="47">
        <v>68.89</v>
      </c>
    </row>
    <row r="201" spans="1:20" ht="30.75" customHeight="1">
      <c r="A201" s="49"/>
      <c r="B201" s="52"/>
      <c r="C201" s="52" t="s">
        <v>30</v>
      </c>
      <c r="D201" s="52" t="s">
        <v>78</v>
      </c>
      <c r="E201" s="53"/>
      <c r="F201" s="36">
        <v>485</v>
      </c>
      <c r="G201" s="28" t="e">
        <f t="shared" ca="1" si="0"/>
        <v>#NAME?</v>
      </c>
      <c r="H201" s="36">
        <v>339</v>
      </c>
      <c r="I201" s="29" t="e">
        <f t="shared" ca="1" si="1"/>
        <v>#NAME?</v>
      </c>
      <c r="J201" s="36">
        <v>809</v>
      </c>
      <c r="K201" s="29" t="e">
        <f t="shared" ca="1" si="2"/>
        <v>#NAME?</v>
      </c>
      <c r="L201" s="36">
        <v>358</v>
      </c>
      <c r="M201" s="29" t="e">
        <f t="shared" ca="1" si="3"/>
        <v>#NAME?</v>
      </c>
      <c r="N201" s="37">
        <v>13.3</v>
      </c>
      <c r="O201" s="38">
        <v>43.86</v>
      </c>
      <c r="P201" s="38">
        <v>52.94</v>
      </c>
      <c r="Q201" s="38">
        <v>-2.21</v>
      </c>
      <c r="R201" s="38">
        <v>-7.4</v>
      </c>
      <c r="S201" s="38">
        <v>0</v>
      </c>
      <c r="T201" s="39">
        <v>10</v>
      </c>
    </row>
    <row r="202" spans="1:20" ht="30.75" customHeight="1">
      <c r="A202" s="49"/>
      <c r="B202" s="52" t="s">
        <v>28</v>
      </c>
      <c r="C202" s="52" t="s">
        <v>30</v>
      </c>
      <c r="D202" s="52" t="s">
        <v>52</v>
      </c>
      <c r="E202" s="53"/>
      <c r="F202" s="36">
        <v>575</v>
      </c>
      <c r="G202" s="28" t="e">
        <f t="shared" ca="1" si="0"/>
        <v>#NAME?</v>
      </c>
      <c r="H202" s="36">
        <v>404</v>
      </c>
      <c r="I202" s="29" t="e">
        <f t="shared" ca="1" si="1"/>
        <v>#NAME?</v>
      </c>
      <c r="J202" s="36">
        <v>809</v>
      </c>
      <c r="K202" s="29" t="e">
        <f t="shared" ca="1" si="2"/>
        <v>#NAME?</v>
      </c>
      <c r="L202" s="36">
        <v>508</v>
      </c>
      <c r="M202" s="29" t="e">
        <f t="shared" ca="1" si="3"/>
        <v>#NAME?</v>
      </c>
      <c r="N202" s="37">
        <v>15.66</v>
      </c>
      <c r="O202" s="38">
        <v>21.05</v>
      </c>
      <c r="P202" s="38">
        <v>47.06</v>
      </c>
      <c r="Q202" s="38">
        <v>-2.21</v>
      </c>
      <c r="R202" s="38">
        <v>7.41</v>
      </c>
      <c r="S202" s="38">
        <v>0</v>
      </c>
      <c r="T202" s="39">
        <v>37.78</v>
      </c>
    </row>
    <row r="203" spans="1:20" ht="30.75" customHeight="1">
      <c r="A203" s="49"/>
      <c r="B203" s="52"/>
      <c r="C203" s="52"/>
      <c r="D203" s="52"/>
      <c r="E203" s="53"/>
      <c r="F203" s="36">
        <v>670</v>
      </c>
      <c r="G203" s="28" t="e">
        <f t="shared" ca="1" si="0"/>
        <v>#NAME?</v>
      </c>
      <c r="H203" s="36">
        <v>525</v>
      </c>
      <c r="I203" s="29" t="e">
        <f t="shared" ca="1" si="1"/>
        <v>#NAME?</v>
      </c>
      <c r="J203" s="36">
        <v>816</v>
      </c>
      <c r="K203" s="29" t="e">
        <f t="shared" ca="1" si="2"/>
        <v>#NAME?</v>
      </c>
      <c r="L203" s="36">
        <v>564</v>
      </c>
      <c r="M203" s="29" t="e">
        <f t="shared" ca="1" si="3"/>
        <v>#NAME?</v>
      </c>
      <c r="N203" s="37">
        <v>17.82</v>
      </c>
      <c r="O203" s="38">
        <v>25</v>
      </c>
      <c r="P203" s="38">
        <v>35.29</v>
      </c>
      <c r="Q203" s="38">
        <v>0</v>
      </c>
      <c r="R203" s="38">
        <v>11.11</v>
      </c>
      <c r="S203" s="38">
        <v>0</v>
      </c>
      <c r="T203" s="39">
        <v>0</v>
      </c>
    </row>
    <row r="204" spans="1:20" ht="30.75" customHeight="1">
      <c r="A204" s="49"/>
      <c r="B204" s="50" t="s">
        <v>28</v>
      </c>
      <c r="C204" s="50" t="s">
        <v>21</v>
      </c>
      <c r="D204" s="50" t="s">
        <v>27</v>
      </c>
      <c r="E204" s="51" t="s">
        <v>94</v>
      </c>
      <c r="F204" s="43">
        <v>756</v>
      </c>
      <c r="G204" s="44" t="e">
        <f t="shared" ca="1" si="0"/>
        <v>#NAME?</v>
      </c>
      <c r="H204" s="43">
        <v>723</v>
      </c>
      <c r="I204" s="45" t="e">
        <f t="shared" ca="1" si="1"/>
        <v>#NAME?</v>
      </c>
      <c r="J204" s="43">
        <v>820</v>
      </c>
      <c r="K204" s="45" t="e">
        <f t="shared" ca="1" si="2"/>
        <v>#NAME?</v>
      </c>
      <c r="L204" s="43">
        <v>725</v>
      </c>
      <c r="M204" s="45" t="e">
        <f t="shared" ca="1" si="3"/>
        <v>#NAME?</v>
      </c>
      <c r="N204" s="37">
        <v>17.03</v>
      </c>
      <c r="O204" s="46">
        <v>21.05</v>
      </c>
      <c r="P204" s="46">
        <v>21.57</v>
      </c>
      <c r="Q204" s="46">
        <v>11.11</v>
      </c>
      <c r="R204" s="46">
        <v>7.41</v>
      </c>
      <c r="S204" s="46">
        <v>0</v>
      </c>
      <c r="T204" s="47">
        <v>46.67</v>
      </c>
    </row>
    <row r="205" spans="1:20" ht="30.75" customHeight="1">
      <c r="A205" s="49"/>
      <c r="B205" s="52" t="s">
        <v>28</v>
      </c>
      <c r="C205" s="52" t="s">
        <v>19</v>
      </c>
      <c r="D205" s="52" t="s">
        <v>95</v>
      </c>
      <c r="E205" s="53"/>
      <c r="F205" s="36">
        <v>900</v>
      </c>
      <c r="G205" s="28" t="e">
        <f t="shared" ca="1" si="0"/>
        <v>#NAME?</v>
      </c>
      <c r="H205" s="36">
        <v>991</v>
      </c>
      <c r="I205" s="29" t="e">
        <f t="shared" ca="1" si="1"/>
        <v>#NAME?</v>
      </c>
      <c r="J205" s="36">
        <v>821</v>
      </c>
      <c r="K205" s="29" t="e">
        <f t="shared" ca="1" si="2"/>
        <v>#NAME?</v>
      </c>
      <c r="L205" s="36">
        <v>863</v>
      </c>
      <c r="M205" s="29" t="e">
        <f t="shared" ca="1" si="3"/>
        <v>#NAME?</v>
      </c>
      <c r="N205" s="37">
        <v>14.25</v>
      </c>
      <c r="O205" s="38">
        <v>26.32</v>
      </c>
      <c r="P205" s="38">
        <v>7.84</v>
      </c>
      <c r="Q205" s="38">
        <v>17.78</v>
      </c>
      <c r="R205" s="38">
        <v>14.81</v>
      </c>
      <c r="S205" s="38">
        <v>-1.74</v>
      </c>
      <c r="T205" s="39">
        <v>30</v>
      </c>
    </row>
    <row r="206" spans="1:20" ht="30.75" customHeight="1">
      <c r="A206" s="49"/>
      <c r="B206" s="52" t="s">
        <v>28</v>
      </c>
      <c r="C206" s="52" t="s">
        <v>29</v>
      </c>
      <c r="D206" s="52" t="s">
        <v>96</v>
      </c>
      <c r="E206" s="53"/>
      <c r="F206" s="36">
        <v>1156</v>
      </c>
      <c r="G206" s="28" t="e">
        <f t="shared" ca="1" si="0"/>
        <v>#NAME?</v>
      </c>
      <c r="H206" s="36">
        <v>1382</v>
      </c>
      <c r="I206" s="29" t="e">
        <f t="shared" ca="1" si="1"/>
        <v>#NAME?</v>
      </c>
      <c r="J206" s="36">
        <v>829</v>
      </c>
      <c r="K206" s="29" t="e">
        <f t="shared" ca="1" si="2"/>
        <v>#NAME?</v>
      </c>
      <c r="L206" s="36">
        <v>1093</v>
      </c>
      <c r="M206" s="29" t="e">
        <f t="shared" ca="1" si="3"/>
        <v>#NAME?</v>
      </c>
      <c r="N206" s="37">
        <v>16.46</v>
      </c>
      <c r="O206" s="38">
        <v>18.329999999999998</v>
      </c>
      <c r="P206" s="38">
        <v>-7.83</v>
      </c>
      <c r="Q206" s="38">
        <v>11.11</v>
      </c>
      <c r="R206" s="38">
        <v>25.93</v>
      </c>
      <c r="S206" s="38">
        <v>15.79</v>
      </c>
      <c r="T206" s="39">
        <v>0</v>
      </c>
    </row>
    <row r="207" spans="1:20" ht="30.75" customHeight="1">
      <c r="A207" s="49"/>
      <c r="B207" s="52" t="s">
        <v>28</v>
      </c>
      <c r="C207" s="52" t="s">
        <v>19</v>
      </c>
      <c r="D207" s="52" t="s">
        <v>97</v>
      </c>
      <c r="E207" s="53"/>
      <c r="F207" s="36">
        <v>931</v>
      </c>
      <c r="G207" s="28" t="e">
        <f t="shared" ca="1" si="0"/>
        <v>#NAME?</v>
      </c>
      <c r="H207" s="36">
        <v>1034</v>
      </c>
      <c r="I207" s="29" t="e">
        <f t="shared" ca="1" si="1"/>
        <v>#NAME?</v>
      </c>
      <c r="J207" s="36">
        <v>835</v>
      </c>
      <c r="K207" s="29" t="e">
        <f t="shared" ca="1" si="2"/>
        <v>#NAME?</v>
      </c>
      <c r="L207" s="36">
        <v>1154</v>
      </c>
      <c r="M207" s="29" t="e">
        <f t="shared" ca="1" si="3"/>
        <v>#NAME?</v>
      </c>
      <c r="N207" s="37">
        <v>17.510000000000002</v>
      </c>
      <c r="O207" s="38">
        <v>1.75</v>
      </c>
      <c r="P207" s="38">
        <v>11.11</v>
      </c>
      <c r="Q207" s="38">
        <v>21.57</v>
      </c>
      <c r="R207" s="38">
        <v>20</v>
      </c>
      <c r="S207" s="38">
        <v>8.77</v>
      </c>
      <c r="T207" s="39">
        <v>6.67</v>
      </c>
    </row>
    <row r="208" spans="1:20" ht="30.75" customHeight="1">
      <c r="A208" s="49"/>
      <c r="B208" s="52" t="s">
        <v>28</v>
      </c>
      <c r="C208" s="52" t="s">
        <v>19</v>
      </c>
      <c r="D208" s="52" t="s">
        <v>98</v>
      </c>
      <c r="E208" s="53"/>
      <c r="F208" s="36">
        <v>1442</v>
      </c>
      <c r="G208" s="28" t="e">
        <f t="shared" ca="1" si="0"/>
        <v>#NAME?</v>
      </c>
      <c r="H208" s="36">
        <v>1724</v>
      </c>
      <c r="I208" s="29" t="e">
        <f t="shared" ca="1" si="1"/>
        <v>#NAME?</v>
      </c>
      <c r="J208" s="36">
        <v>845</v>
      </c>
      <c r="K208" s="29" t="e">
        <f t="shared" ca="1" si="2"/>
        <v>#NAME?</v>
      </c>
      <c r="L208" s="36">
        <v>1493</v>
      </c>
      <c r="M208" s="29" t="e">
        <f t="shared" ca="1" si="3"/>
        <v>#NAME?</v>
      </c>
      <c r="N208" s="37">
        <v>15.11</v>
      </c>
      <c r="O208" s="38">
        <v>10.53</v>
      </c>
      <c r="P208" s="38">
        <v>-9.7899999999999991</v>
      </c>
      <c r="Q208" s="38">
        <v>8.33</v>
      </c>
      <c r="R208" s="38">
        <v>48.15</v>
      </c>
      <c r="S208" s="38">
        <v>8.77</v>
      </c>
      <c r="T208" s="39">
        <v>1.1100000000000001</v>
      </c>
    </row>
    <row r="209" spans="1:20" ht="30.75" customHeight="1">
      <c r="A209" s="49"/>
      <c r="B209" s="52" t="s">
        <v>28</v>
      </c>
      <c r="C209" s="52" t="s">
        <v>19</v>
      </c>
      <c r="D209" s="52" t="s">
        <v>98</v>
      </c>
      <c r="E209" s="53"/>
      <c r="F209" s="36">
        <v>1127</v>
      </c>
      <c r="G209" s="28" t="e">
        <f t="shared" ca="1" si="0"/>
        <v>#NAME?</v>
      </c>
      <c r="H209" s="36">
        <v>1412</v>
      </c>
      <c r="I209" s="29" t="e">
        <f t="shared" ca="1" si="1"/>
        <v>#NAME?</v>
      </c>
      <c r="J209" s="36">
        <v>849</v>
      </c>
      <c r="K209" s="29" t="e">
        <f t="shared" ca="1" si="2"/>
        <v>#NAME?</v>
      </c>
      <c r="L209" s="36">
        <v>1379</v>
      </c>
      <c r="M209" s="29" t="e">
        <f t="shared" ca="1" si="3"/>
        <v>#NAME?</v>
      </c>
      <c r="N209" s="37">
        <v>18.059999999999999</v>
      </c>
      <c r="O209" s="38">
        <v>3.51</v>
      </c>
      <c r="P209" s="38">
        <v>0</v>
      </c>
      <c r="Q209" s="38">
        <v>22.22</v>
      </c>
      <c r="R209" s="38">
        <v>25.93</v>
      </c>
      <c r="S209" s="38">
        <v>7.02</v>
      </c>
      <c r="T209" s="39">
        <v>0</v>
      </c>
    </row>
    <row r="210" spans="1:20" ht="30.75" customHeight="1">
      <c r="A210" s="49"/>
      <c r="B210" s="52" t="s">
        <v>36</v>
      </c>
      <c r="C210" s="52" t="s">
        <v>30</v>
      </c>
      <c r="D210" s="52" t="s">
        <v>53</v>
      </c>
      <c r="E210" s="53"/>
      <c r="F210" s="36">
        <v>623</v>
      </c>
      <c r="G210" s="28" t="e">
        <f t="shared" ca="1" si="0"/>
        <v>#NAME?</v>
      </c>
      <c r="H210" s="36">
        <v>504</v>
      </c>
      <c r="I210" s="29" t="e">
        <f t="shared" ca="1" si="1"/>
        <v>#NAME?</v>
      </c>
      <c r="J210" s="36">
        <v>856</v>
      </c>
      <c r="K210" s="29" t="e">
        <f t="shared" ca="1" si="2"/>
        <v>#NAME?</v>
      </c>
      <c r="L210" s="36">
        <v>537</v>
      </c>
      <c r="M210" s="29" t="e">
        <f t="shared" ca="1" si="3"/>
        <v>#NAME?</v>
      </c>
      <c r="N210" s="37">
        <v>16.59</v>
      </c>
      <c r="O210" s="38">
        <v>29.82</v>
      </c>
      <c r="P210" s="38">
        <v>37.25</v>
      </c>
      <c r="Q210" s="38">
        <v>6.67</v>
      </c>
      <c r="R210" s="38">
        <v>0</v>
      </c>
      <c r="S210" s="38">
        <v>0</v>
      </c>
      <c r="T210" s="39">
        <v>0</v>
      </c>
    </row>
    <row r="211" spans="1:20" ht="30.75" customHeight="1">
      <c r="A211" s="49"/>
      <c r="B211" s="52" t="s">
        <v>28</v>
      </c>
      <c r="C211" s="52" t="s">
        <v>30</v>
      </c>
      <c r="D211" s="52" t="s">
        <v>53</v>
      </c>
      <c r="E211" s="53"/>
      <c r="F211" s="36">
        <v>613</v>
      </c>
      <c r="G211" s="28" t="e">
        <f t="shared" ca="1" si="0"/>
        <v>#NAME?</v>
      </c>
      <c r="H211" s="36">
        <v>483</v>
      </c>
      <c r="I211" s="29" t="e">
        <f t="shared" ca="1" si="1"/>
        <v>#NAME?</v>
      </c>
      <c r="J211" s="36">
        <v>873</v>
      </c>
      <c r="K211" s="29" t="e">
        <f t="shared" ca="1" si="2"/>
        <v>#NAME?</v>
      </c>
      <c r="L211" s="36">
        <v>619</v>
      </c>
      <c r="M211" s="29" t="e">
        <f t="shared" ca="1" si="3"/>
        <v>#NAME?</v>
      </c>
      <c r="N211" s="37">
        <v>20</v>
      </c>
      <c r="O211" s="38">
        <v>12.28</v>
      </c>
      <c r="P211" s="38">
        <v>41.18</v>
      </c>
      <c r="Q211" s="38">
        <v>8.89</v>
      </c>
      <c r="R211" s="38">
        <v>0</v>
      </c>
      <c r="S211" s="38">
        <v>0</v>
      </c>
      <c r="T211" s="39">
        <v>0</v>
      </c>
    </row>
    <row r="212" spans="1:20" ht="30.75" customHeight="1">
      <c r="A212" s="49"/>
      <c r="B212" s="52" t="s">
        <v>28</v>
      </c>
      <c r="C212" s="52" t="s">
        <v>33</v>
      </c>
      <c r="D212" s="52" t="s">
        <v>98</v>
      </c>
      <c r="E212" s="53"/>
      <c r="F212" s="36">
        <v>505</v>
      </c>
      <c r="G212" s="28" t="e">
        <f t="shared" ca="1" si="0"/>
        <v>#NAME?</v>
      </c>
      <c r="H212" s="36">
        <v>363</v>
      </c>
      <c r="I212" s="29" t="e">
        <f t="shared" ca="1" si="1"/>
        <v>#NAME?</v>
      </c>
      <c r="J212" s="36">
        <v>878</v>
      </c>
      <c r="K212" s="29" t="e">
        <f t="shared" ca="1" si="2"/>
        <v>#NAME?</v>
      </c>
      <c r="L212" s="36">
        <v>434</v>
      </c>
      <c r="M212" s="29" t="e">
        <f t="shared" ca="1" si="3"/>
        <v>#NAME?</v>
      </c>
      <c r="N212" s="37">
        <v>17.940000000000001</v>
      </c>
      <c r="O212" s="38">
        <v>29.82</v>
      </c>
      <c r="P212" s="38">
        <v>50.98</v>
      </c>
      <c r="Q212" s="38">
        <v>0</v>
      </c>
      <c r="R212" s="38">
        <v>-14.8</v>
      </c>
      <c r="S212" s="38">
        <v>0</v>
      </c>
      <c r="T212" s="39">
        <v>6.67</v>
      </c>
    </row>
    <row r="213" spans="1:20" ht="30.75" customHeight="1">
      <c r="A213" s="49"/>
      <c r="B213" s="50" t="s">
        <v>28</v>
      </c>
      <c r="C213" s="50" t="s">
        <v>19</v>
      </c>
      <c r="D213" s="50" t="s">
        <v>73</v>
      </c>
      <c r="E213" s="51" t="s">
        <v>99</v>
      </c>
      <c r="F213" s="43">
        <v>925</v>
      </c>
      <c r="G213" s="44" t="e">
        <f t="shared" ca="1" si="0"/>
        <v>#NAME?</v>
      </c>
      <c r="H213" s="43">
        <v>941</v>
      </c>
      <c r="I213" s="45" t="e">
        <f t="shared" ca="1" si="1"/>
        <v>#NAME?</v>
      </c>
      <c r="J213" s="43">
        <v>901</v>
      </c>
      <c r="K213" s="45" t="e">
        <f t="shared" ca="1" si="2"/>
        <v>#NAME?</v>
      </c>
      <c r="L213" s="43">
        <v>1181</v>
      </c>
      <c r="M213" s="45" t="e">
        <f t="shared" ca="1" si="3"/>
        <v>#NAME?</v>
      </c>
      <c r="N213" s="37">
        <v>16.37</v>
      </c>
      <c r="O213" s="46">
        <v>0</v>
      </c>
      <c r="P213" s="46">
        <v>23.53</v>
      </c>
      <c r="Q213" s="46">
        <v>26.67</v>
      </c>
      <c r="R213" s="46">
        <v>22.22</v>
      </c>
      <c r="S213" s="46">
        <v>0</v>
      </c>
      <c r="T213" s="47">
        <v>0</v>
      </c>
    </row>
    <row r="214" spans="1:20" ht="30.75" customHeight="1">
      <c r="A214" s="49"/>
      <c r="B214" s="52" t="s">
        <v>36</v>
      </c>
      <c r="C214" s="52" t="s">
        <v>100</v>
      </c>
      <c r="D214" s="52" t="s">
        <v>78</v>
      </c>
      <c r="E214" s="53"/>
      <c r="F214" s="36">
        <v>677</v>
      </c>
      <c r="G214" s="28" t="e">
        <f t="shared" ca="1" si="0"/>
        <v>#NAME?</v>
      </c>
      <c r="H214" s="36">
        <v>608</v>
      </c>
      <c r="I214" s="29" t="e">
        <f t="shared" ca="1" si="1"/>
        <v>#NAME?</v>
      </c>
      <c r="J214" s="36">
        <v>902</v>
      </c>
      <c r="K214" s="29" t="e">
        <f t="shared" ca="1" si="2"/>
        <v>#NAME?</v>
      </c>
      <c r="L214" s="36">
        <v>731</v>
      </c>
      <c r="M214" s="29" t="e">
        <f t="shared" ca="1" si="3"/>
        <v>#NAME?</v>
      </c>
      <c r="N214" s="37">
        <v>15.52</v>
      </c>
      <c r="O214" s="38">
        <v>15.79</v>
      </c>
      <c r="P214" s="38">
        <v>35.29</v>
      </c>
      <c r="Q214" s="38">
        <v>20</v>
      </c>
      <c r="R214" s="38">
        <v>3.7</v>
      </c>
      <c r="S214" s="38">
        <v>0</v>
      </c>
      <c r="T214" s="39">
        <v>0</v>
      </c>
    </row>
    <row r="215" spans="1:20" ht="30.75" customHeight="1">
      <c r="A215" s="49"/>
      <c r="B215" s="52" t="s">
        <v>28</v>
      </c>
      <c r="C215" s="52" t="s">
        <v>29</v>
      </c>
      <c r="D215" s="52" t="s">
        <v>101</v>
      </c>
      <c r="E215" s="53"/>
      <c r="F215" s="36">
        <v>1045</v>
      </c>
      <c r="G215" s="28" t="e">
        <f t="shared" ca="1" si="0"/>
        <v>#NAME?</v>
      </c>
      <c r="H215" s="36">
        <v>1161</v>
      </c>
      <c r="I215" s="29" t="e">
        <f t="shared" ca="1" si="1"/>
        <v>#NAME?</v>
      </c>
      <c r="J215" s="36">
        <v>903</v>
      </c>
      <c r="K215" s="29" t="e">
        <f t="shared" ca="1" si="2"/>
        <v>#NAME?</v>
      </c>
      <c r="L215" s="36">
        <v>873</v>
      </c>
      <c r="M215" s="29" t="e">
        <f t="shared" ca="1" si="3"/>
        <v>#NAME?</v>
      </c>
      <c r="N215" s="37">
        <v>18.02</v>
      </c>
      <c r="O215" s="38">
        <v>29.82</v>
      </c>
      <c r="P215" s="38">
        <v>-5.87</v>
      </c>
      <c r="Q215" s="38">
        <v>4.4400000000000004</v>
      </c>
      <c r="R215" s="38">
        <v>11.11</v>
      </c>
      <c r="S215" s="38">
        <v>0</v>
      </c>
      <c r="T215" s="39">
        <v>51.11</v>
      </c>
    </row>
    <row r="216" spans="1:20" ht="30.75" customHeight="1">
      <c r="A216" s="49"/>
      <c r="B216" s="50" t="s">
        <v>28</v>
      </c>
      <c r="C216" s="50" t="s">
        <v>29</v>
      </c>
      <c r="D216" s="50" t="s">
        <v>102</v>
      </c>
      <c r="E216" s="51" t="s">
        <v>103</v>
      </c>
      <c r="F216" s="43">
        <v>672</v>
      </c>
      <c r="G216" s="44" t="e">
        <f t="shared" ca="1" si="0"/>
        <v>#NAME?</v>
      </c>
      <c r="H216" s="43">
        <v>545</v>
      </c>
      <c r="I216" s="45" t="e">
        <f t="shared" ca="1" si="1"/>
        <v>#NAME?</v>
      </c>
      <c r="J216" s="43">
        <v>905</v>
      </c>
      <c r="K216" s="45" t="e">
        <f t="shared" ca="1" si="2"/>
        <v>#NAME?</v>
      </c>
      <c r="L216" s="43">
        <v>590</v>
      </c>
      <c r="M216" s="45" t="e">
        <f t="shared" ca="1" si="3"/>
        <v>#NAME?</v>
      </c>
      <c r="N216" s="37">
        <v>17.18</v>
      </c>
      <c r="O216" s="46">
        <v>28.07</v>
      </c>
      <c r="P216" s="46">
        <v>37.25</v>
      </c>
      <c r="Q216" s="46">
        <v>6.67</v>
      </c>
      <c r="R216" s="46">
        <v>0</v>
      </c>
      <c r="S216" s="46">
        <v>0</v>
      </c>
      <c r="T216" s="47">
        <v>8.89</v>
      </c>
    </row>
    <row r="217" spans="1:20" ht="30.75" customHeight="1">
      <c r="A217" s="49"/>
      <c r="B217" s="50" t="s">
        <v>28</v>
      </c>
      <c r="C217" s="50" t="s">
        <v>30</v>
      </c>
      <c r="D217" s="50" t="s">
        <v>38</v>
      </c>
      <c r="E217" s="51" t="s">
        <v>104</v>
      </c>
      <c r="F217" s="43">
        <v>874</v>
      </c>
      <c r="G217" s="44" t="e">
        <f t="shared" ca="1" si="0"/>
        <v>#NAME?</v>
      </c>
      <c r="H217" s="43">
        <v>771</v>
      </c>
      <c r="I217" s="45" t="e">
        <f t="shared" ca="1" si="1"/>
        <v>#NAME?</v>
      </c>
      <c r="J217" s="43">
        <v>918</v>
      </c>
      <c r="K217" s="45" t="e">
        <f t="shared" ca="1" si="2"/>
        <v>#NAME?</v>
      </c>
      <c r="L217" s="43">
        <v>783</v>
      </c>
      <c r="M217" s="45" t="e">
        <f t="shared" ca="1" si="3"/>
        <v>#NAME?</v>
      </c>
      <c r="N217" s="37">
        <v>17.62</v>
      </c>
      <c r="O217" s="46">
        <v>21.05</v>
      </c>
      <c r="P217" s="46">
        <v>21.57</v>
      </c>
      <c r="Q217" s="46">
        <v>2.2200000000000002</v>
      </c>
      <c r="R217" s="46">
        <v>11.11</v>
      </c>
      <c r="S217" s="46">
        <v>10.53</v>
      </c>
      <c r="T217" s="47">
        <v>17.78</v>
      </c>
    </row>
    <row r="218" spans="1:20" ht="30.75" customHeight="1">
      <c r="A218" s="49"/>
      <c r="B218" s="52" t="s">
        <v>28</v>
      </c>
      <c r="C218" s="52" t="s">
        <v>33</v>
      </c>
      <c r="D218" s="52" t="s">
        <v>105</v>
      </c>
      <c r="E218" s="53"/>
      <c r="F218" s="36">
        <v>910</v>
      </c>
      <c r="G218" s="28" t="e">
        <f t="shared" ca="1" si="0"/>
        <v>#NAME?</v>
      </c>
      <c r="H218" s="36">
        <v>1030</v>
      </c>
      <c r="I218" s="29" t="e">
        <f t="shared" ca="1" si="1"/>
        <v>#NAME?</v>
      </c>
      <c r="J218" s="36">
        <v>997</v>
      </c>
      <c r="K218" s="29" t="e">
        <f t="shared" ca="1" si="2"/>
        <v>#NAME?</v>
      </c>
      <c r="L218" s="36">
        <v>1048</v>
      </c>
      <c r="M218" s="29" t="e">
        <f t="shared" ca="1" si="3"/>
        <v>#NAME?</v>
      </c>
      <c r="N218" s="37">
        <v>17.62</v>
      </c>
      <c r="O218" s="38">
        <v>12.28</v>
      </c>
      <c r="P218" s="38">
        <v>13.73</v>
      </c>
      <c r="Q218" s="38">
        <v>26.67</v>
      </c>
      <c r="R218" s="38">
        <v>3.7</v>
      </c>
      <c r="S218" s="38">
        <v>0</v>
      </c>
      <c r="T218" s="39">
        <v>0</v>
      </c>
    </row>
    <row r="219" spans="1:20" ht="30.75" customHeight="1">
      <c r="A219" s="49"/>
      <c r="B219" s="52"/>
      <c r="C219" s="52"/>
      <c r="D219" s="52"/>
      <c r="E219" s="53"/>
      <c r="F219" s="36">
        <v>1164</v>
      </c>
      <c r="G219" s="28" t="e">
        <f t="shared" ca="1" si="0"/>
        <v>#NAME?</v>
      </c>
      <c r="H219" s="36">
        <v>1271</v>
      </c>
      <c r="I219" s="29" t="e">
        <f t="shared" ca="1" si="1"/>
        <v>#NAME?</v>
      </c>
      <c r="J219" s="36">
        <v>1037</v>
      </c>
      <c r="K219" s="29" t="e">
        <f t="shared" ca="1" si="2"/>
        <v>#NAME?</v>
      </c>
      <c r="L219" s="36">
        <v>1156</v>
      </c>
      <c r="M219" s="29" t="e">
        <f t="shared" ca="1" si="3"/>
        <v>#NAME?</v>
      </c>
      <c r="N219" s="37">
        <v>18.71</v>
      </c>
      <c r="O219" s="55">
        <v>15.79</v>
      </c>
      <c r="P219" s="55">
        <v>3.92</v>
      </c>
      <c r="Q219" s="55">
        <v>13.33</v>
      </c>
      <c r="R219" s="55">
        <v>14.81</v>
      </c>
      <c r="S219" s="55">
        <v>0</v>
      </c>
      <c r="T219" s="56">
        <v>8.89</v>
      </c>
    </row>
    <row r="220" spans="1:20" ht="30.75" customHeight="1">
      <c r="A220" s="49"/>
      <c r="B220" s="52" t="s">
        <v>28</v>
      </c>
      <c r="C220" s="52" t="s">
        <v>19</v>
      </c>
      <c r="D220" s="52" t="s">
        <v>106</v>
      </c>
      <c r="E220" s="53"/>
      <c r="F220" s="36">
        <v>1199</v>
      </c>
      <c r="G220" s="28" t="e">
        <f t="shared" ca="1" si="0"/>
        <v>#NAME?</v>
      </c>
      <c r="H220" s="36">
        <v>1314</v>
      </c>
      <c r="I220" s="29" t="e">
        <f t="shared" ca="1" si="1"/>
        <v>#NAME?</v>
      </c>
      <c r="J220" s="36">
        <v>1039</v>
      </c>
      <c r="K220" s="29" t="e">
        <f t="shared" ca="1" si="2"/>
        <v>#NAME?</v>
      </c>
      <c r="L220" s="36">
        <v>1517</v>
      </c>
      <c r="M220" s="29" t="e">
        <f t="shared" ca="1" si="3"/>
        <v>#NAME?</v>
      </c>
      <c r="N220" s="37">
        <v>13.65</v>
      </c>
      <c r="O220" s="38">
        <v>0</v>
      </c>
      <c r="P220" s="38">
        <v>9.8000000000000007</v>
      </c>
      <c r="Q220" s="38">
        <v>20</v>
      </c>
      <c r="R220" s="38">
        <v>25.93</v>
      </c>
      <c r="S220" s="38">
        <v>0</v>
      </c>
      <c r="T220" s="39">
        <v>57.78</v>
      </c>
    </row>
    <row r="221" spans="1:20" ht="30.75" customHeight="1">
      <c r="A221" s="49"/>
      <c r="B221" s="52" t="s">
        <v>28</v>
      </c>
      <c r="C221" s="52" t="s">
        <v>31</v>
      </c>
      <c r="D221" s="52" t="s">
        <v>39</v>
      </c>
      <c r="E221" s="53"/>
      <c r="F221" s="36">
        <v>695</v>
      </c>
      <c r="G221" s="28" t="e">
        <f t="shared" ca="1" si="0"/>
        <v>#NAME?</v>
      </c>
      <c r="H221" s="36">
        <v>531</v>
      </c>
      <c r="I221" s="29" t="e">
        <f t="shared" ca="1" si="1"/>
        <v>#NAME?</v>
      </c>
      <c r="J221" s="36">
        <v>1050</v>
      </c>
      <c r="K221" s="29" t="e">
        <f t="shared" ca="1" si="2"/>
        <v>#NAME?</v>
      </c>
      <c r="L221" s="36">
        <v>578</v>
      </c>
      <c r="M221" s="29" t="e">
        <f t="shared" ca="1" si="3"/>
        <v>#NAME?</v>
      </c>
      <c r="N221" s="37">
        <v>15.46</v>
      </c>
      <c r="O221" s="38">
        <v>29.82</v>
      </c>
      <c r="P221" s="38">
        <v>41.18</v>
      </c>
      <c r="Q221" s="38">
        <v>4.4400000000000004</v>
      </c>
      <c r="R221" s="38">
        <v>-3.69</v>
      </c>
      <c r="S221" s="38">
        <v>0</v>
      </c>
      <c r="T221" s="39">
        <v>0</v>
      </c>
    </row>
    <row r="222" spans="1:20" ht="30.75" customHeight="1">
      <c r="A222" s="49"/>
      <c r="B222" s="52" t="s">
        <v>28</v>
      </c>
      <c r="C222" s="52" t="s">
        <v>29</v>
      </c>
      <c r="D222" s="52" t="s">
        <v>107</v>
      </c>
      <c r="E222" s="53"/>
      <c r="F222" s="36">
        <v>1355</v>
      </c>
      <c r="G222" s="28" t="e">
        <f t="shared" ca="1" si="0"/>
        <v>#NAME?</v>
      </c>
      <c r="H222" s="36">
        <v>1278</v>
      </c>
      <c r="I222" s="29" t="e">
        <f t="shared" ca="1" si="1"/>
        <v>#NAME?</v>
      </c>
      <c r="J222" s="36">
        <v>1062</v>
      </c>
      <c r="K222" s="29" t="e">
        <f t="shared" ca="1" si="2"/>
        <v>#NAME?</v>
      </c>
      <c r="L222" s="36">
        <v>1359</v>
      </c>
      <c r="M222" s="29" t="e">
        <f t="shared" ca="1" si="3"/>
        <v>#NAME?</v>
      </c>
      <c r="N222" s="37">
        <v>16.059999999999999</v>
      </c>
      <c r="O222" s="38">
        <v>5.26</v>
      </c>
      <c r="P222" s="38">
        <v>7.84</v>
      </c>
      <c r="Q222" s="38">
        <v>0</v>
      </c>
      <c r="R222" s="38">
        <v>33.33</v>
      </c>
      <c r="S222" s="38">
        <v>24.56</v>
      </c>
      <c r="T222" s="39">
        <v>-8.8800000000000008</v>
      </c>
    </row>
    <row r="223" spans="1:20" ht="30.75" customHeight="1">
      <c r="A223" s="49"/>
      <c r="B223" s="52" t="s">
        <v>28</v>
      </c>
      <c r="C223" s="52" t="s">
        <v>19</v>
      </c>
      <c r="D223" s="52" t="s">
        <v>107</v>
      </c>
      <c r="E223" s="53"/>
      <c r="F223" s="36">
        <v>1620</v>
      </c>
      <c r="G223" s="28" t="e">
        <f t="shared" ca="1" si="0"/>
        <v>#NAME?</v>
      </c>
      <c r="H223" s="36">
        <v>1718</v>
      </c>
      <c r="I223" s="29" t="e">
        <f t="shared" ca="1" si="1"/>
        <v>#NAME?</v>
      </c>
      <c r="J223" s="36">
        <v>1069</v>
      </c>
      <c r="K223" s="29" t="e">
        <f t="shared" ca="1" si="2"/>
        <v>#NAME?</v>
      </c>
      <c r="L223" s="36">
        <v>1805</v>
      </c>
      <c r="M223" s="29" t="e">
        <f t="shared" ca="1" si="3"/>
        <v>#NAME?</v>
      </c>
      <c r="N223" s="37">
        <v>17.739999999999998</v>
      </c>
      <c r="O223" s="38">
        <v>-5.25</v>
      </c>
      <c r="P223" s="38">
        <v>-1.96</v>
      </c>
      <c r="Q223" s="38">
        <v>0</v>
      </c>
      <c r="R223" s="38">
        <v>40.74</v>
      </c>
      <c r="S223" s="38">
        <v>22.81</v>
      </c>
      <c r="T223" s="39">
        <v>0</v>
      </c>
    </row>
    <row r="224" spans="1:20" ht="30.75" customHeight="1">
      <c r="A224" s="49"/>
      <c r="B224" s="52" t="s">
        <v>28</v>
      </c>
      <c r="C224" s="52" t="s">
        <v>29</v>
      </c>
      <c r="D224" s="52" t="s">
        <v>108</v>
      </c>
      <c r="E224" s="53"/>
      <c r="F224" s="36">
        <v>904</v>
      </c>
      <c r="G224" s="28" t="e">
        <f t="shared" ca="1" si="0"/>
        <v>#NAME?</v>
      </c>
      <c r="H224" s="36">
        <v>835</v>
      </c>
      <c r="I224" s="29" t="e">
        <f t="shared" ca="1" si="1"/>
        <v>#NAME?</v>
      </c>
      <c r="J224" s="36">
        <v>1097</v>
      </c>
      <c r="K224" s="29" t="e">
        <f t="shared" ca="1" si="2"/>
        <v>#NAME?</v>
      </c>
      <c r="L224" s="36">
        <v>776</v>
      </c>
      <c r="M224" s="29" t="e">
        <f t="shared" ca="1" si="3"/>
        <v>#NAME?</v>
      </c>
      <c r="N224" s="37">
        <v>16.670000000000002</v>
      </c>
      <c r="O224" s="38">
        <v>31.58</v>
      </c>
      <c r="P224" s="38">
        <v>19.61</v>
      </c>
      <c r="Q224" s="38">
        <v>8.89</v>
      </c>
      <c r="R224" s="38">
        <v>0</v>
      </c>
      <c r="S224" s="38">
        <v>0</v>
      </c>
      <c r="T224" s="39">
        <v>0</v>
      </c>
    </row>
    <row r="225" spans="1:20" ht="30.75" customHeight="1">
      <c r="A225" s="49"/>
      <c r="B225" s="52" t="s">
        <v>28</v>
      </c>
      <c r="C225" s="52" t="s">
        <v>29</v>
      </c>
      <c r="D225" s="52" t="s">
        <v>85</v>
      </c>
      <c r="E225" s="53"/>
      <c r="F225" s="36">
        <v>679</v>
      </c>
      <c r="G225" s="28" t="e">
        <f t="shared" ca="1" si="0"/>
        <v>#NAME?</v>
      </c>
      <c r="H225" s="36">
        <v>462</v>
      </c>
      <c r="I225" s="29" t="e">
        <f t="shared" ca="1" si="1"/>
        <v>#NAME?</v>
      </c>
      <c r="J225" s="36">
        <v>1138</v>
      </c>
      <c r="K225" s="29" t="e">
        <f t="shared" ca="1" si="2"/>
        <v>#NAME?</v>
      </c>
      <c r="L225" s="36">
        <v>756</v>
      </c>
      <c r="M225" s="29" t="e">
        <f t="shared" ca="1" si="3"/>
        <v>#NAME?</v>
      </c>
      <c r="N225" s="37">
        <v>17.309999999999999</v>
      </c>
      <c r="O225" s="38">
        <v>0</v>
      </c>
      <c r="P225" s="38">
        <v>52.94</v>
      </c>
      <c r="Q225" s="38">
        <v>4.17</v>
      </c>
      <c r="R225" s="38">
        <v>0</v>
      </c>
      <c r="S225" s="38">
        <v>0</v>
      </c>
      <c r="T225" s="39">
        <v>44.44</v>
      </c>
    </row>
    <row r="226" spans="1:20" ht="30.75" customHeight="1">
      <c r="A226" s="49"/>
      <c r="B226" s="50" t="s">
        <v>28</v>
      </c>
      <c r="C226" s="50" t="s">
        <v>29</v>
      </c>
      <c r="D226" s="50" t="s">
        <v>43</v>
      </c>
      <c r="E226" s="51" t="s">
        <v>109</v>
      </c>
      <c r="F226" s="43">
        <v>712</v>
      </c>
      <c r="G226" s="44" t="e">
        <f t="shared" ca="1" si="0"/>
        <v>#NAME?</v>
      </c>
      <c r="H226" s="43">
        <v>453</v>
      </c>
      <c r="I226" s="45" t="e">
        <f t="shared" ca="1" si="1"/>
        <v>#NAME?</v>
      </c>
      <c r="J226" s="43">
        <v>1142</v>
      </c>
      <c r="K226" s="45" t="e">
        <f t="shared" ca="1" si="2"/>
        <v>#NAME?</v>
      </c>
      <c r="L226" s="43">
        <v>490</v>
      </c>
      <c r="M226" s="45" t="e">
        <f t="shared" ca="1" si="3"/>
        <v>#NAME?</v>
      </c>
      <c r="N226" s="37">
        <v>15.88</v>
      </c>
      <c r="O226" s="46">
        <v>42.11</v>
      </c>
      <c r="P226" s="46">
        <v>50.98</v>
      </c>
      <c r="Q226" s="46">
        <v>-15.55</v>
      </c>
      <c r="R226" s="46">
        <v>-3.69</v>
      </c>
      <c r="S226" s="46">
        <v>0</v>
      </c>
      <c r="T226" s="47">
        <v>0</v>
      </c>
    </row>
    <row r="227" spans="1:20" ht="30.75" customHeight="1">
      <c r="A227" s="49"/>
      <c r="B227" s="52" t="s">
        <v>28</v>
      </c>
      <c r="C227" s="52" t="s">
        <v>29</v>
      </c>
      <c r="D227" s="52" t="s">
        <v>91</v>
      </c>
      <c r="E227" s="53"/>
      <c r="F227" s="36">
        <v>1234</v>
      </c>
      <c r="G227" s="28" t="e">
        <f t="shared" ca="1" si="0"/>
        <v>#NAME?</v>
      </c>
      <c r="H227" s="36">
        <v>1232</v>
      </c>
      <c r="I227" s="29" t="e">
        <f t="shared" ca="1" si="1"/>
        <v>#NAME?</v>
      </c>
      <c r="J227" s="36">
        <v>1164</v>
      </c>
      <c r="K227" s="29" t="e">
        <f t="shared" ca="1" si="2"/>
        <v>#NAME?</v>
      </c>
      <c r="L227" s="36">
        <v>950</v>
      </c>
      <c r="M227" s="29" t="e">
        <f t="shared" ca="1" si="3"/>
        <v>#NAME?</v>
      </c>
      <c r="N227" s="37">
        <v>16.010000000000002</v>
      </c>
      <c r="O227" s="38">
        <v>33.33</v>
      </c>
      <c r="P227" s="38">
        <v>3.92</v>
      </c>
      <c r="Q227" s="38">
        <v>2.2200000000000002</v>
      </c>
      <c r="R227" s="38">
        <v>11.11</v>
      </c>
      <c r="S227" s="38">
        <v>-1.74</v>
      </c>
      <c r="T227" s="39">
        <v>27.78</v>
      </c>
    </row>
    <row r="228" spans="1:20" ht="30.75" customHeight="1">
      <c r="A228" s="49"/>
      <c r="B228" s="52" t="s">
        <v>28</v>
      </c>
      <c r="C228" s="52" t="s">
        <v>29</v>
      </c>
      <c r="D228" s="52" t="s">
        <v>91</v>
      </c>
      <c r="E228" s="53"/>
      <c r="F228" s="36">
        <v>1194</v>
      </c>
      <c r="G228" s="28" t="e">
        <f t="shared" ca="1" si="0"/>
        <v>#NAME?</v>
      </c>
      <c r="H228" s="36">
        <v>1155</v>
      </c>
      <c r="I228" s="29" t="e">
        <f t="shared" ca="1" si="1"/>
        <v>#NAME?</v>
      </c>
      <c r="J228" s="36">
        <v>1183</v>
      </c>
      <c r="K228" s="29" t="e">
        <f t="shared" ca="1" si="2"/>
        <v>#NAME?</v>
      </c>
      <c r="L228" s="36">
        <v>1011</v>
      </c>
      <c r="M228" s="29" t="e">
        <f t="shared" ca="1" si="3"/>
        <v>#NAME?</v>
      </c>
      <c r="N228" s="37">
        <v>19.190000000000001</v>
      </c>
      <c r="O228" s="38">
        <v>21.05</v>
      </c>
      <c r="P228" s="38">
        <v>5.88</v>
      </c>
      <c r="Q228" s="38">
        <v>0</v>
      </c>
      <c r="R228" s="38">
        <v>7.41</v>
      </c>
      <c r="S228" s="38">
        <v>-1.74</v>
      </c>
      <c r="T228" s="39">
        <v>47.78</v>
      </c>
    </row>
    <row r="229" spans="1:20" ht="30.75" customHeight="1">
      <c r="A229" s="49"/>
      <c r="B229" s="50" t="s">
        <v>28</v>
      </c>
      <c r="C229" s="50" t="s">
        <v>30</v>
      </c>
      <c r="D229" s="50" t="s">
        <v>52</v>
      </c>
      <c r="E229" s="51" t="s">
        <v>110</v>
      </c>
      <c r="F229" s="43">
        <v>1036</v>
      </c>
      <c r="G229" s="44" t="e">
        <f t="shared" ca="1" si="0"/>
        <v>#NAME?</v>
      </c>
      <c r="H229" s="43">
        <v>1012</v>
      </c>
      <c r="I229" s="45" t="e">
        <f t="shared" ca="1" si="1"/>
        <v>#NAME?</v>
      </c>
      <c r="J229" s="43">
        <v>1189</v>
      </c>
      <c r="K229" s="45" t="e">
        <f t="shared" ca="1" si="2"/>
        <v>#NAME?</v>
      </c>
      <c r="L229" s="43">
        <v>984</v>
      </c>
      <c r="M229" s="45" t="e">
        <f t="shared" ca="1" si="3"/>
        <v>#NAME?</v>
      </c>
      <c r="N229" s="37">
        <v>16.350000000000001</v>
      </c>
      <c r="O229" s="46">
        <v>20</v>
      </c>
      <c r="P229" s="46">
        <v>13.73</v>
      </c>
      <c r="Q229" s="46">
        <v>8.33</v>
      </c>
      <c r="R229" s="46">
        <v>-3.69</v>
      </c>
      <c r="S229" s="46">
        <v>15.79</v>
      </c>
      <c r="T229" s="47">
        <v>36.67</v>
      </c>
    </row>
    <row r="230" spans="1:20" ht="30.75" customHeight="1">
      <c r="A230" s="49"/>
      <c r="B230" s="52" t="s">
        <v>28</v>
      </c>
      <c r="C230" s="52" t="s">
        <v>29</v>
      </c>
      <c r="D230" s="52" t="s">
        <v>111</v>
      </c>
      <c r="E230" s="53"/>
      <c r="F230" s="36">
        <v>1270</v>
      </c>
      <c r="G230" s="28" t="e">
        <f t="shared" ca="1" si="0"/>
        <v>#NAME?</v>
      </c>
      <c r="H230" s="36">
        <v>1127</v>
      </c>
      <c r="I230" s="29" t="e">
        <f t="shared" ca="1" si="1"/>
        <v>#NAME?</v>
      </c>
      <c r="J230" s="36">
        <v>1207</v>
      </c>
      <c r="K230" s="29" t="e">
        <f t="shared" ca="1" si="2"/>
        <v>#NAME?</v>
      </c>
      <c r="L230" s="36">
        <v>1205</v>
      </c>
      <c r="M230" s="29" t="e">
        <f t="shared" ca="1" si="3"/>
        <v>#NAME?</v>
      </c>
      <c r="N230" s="37">
        <v>16.8</v>
      </c>
      <c r="O230" s="38">
        <v>12.28</v>
      </c>
      <c r="P230" s="38">
        <v>15.69</v>
      </c>
      <c r="Q230" s="38">
        <v>2.2200000000000002</v>
      </c>
      <c r="R230" s="38">
        <v>22.22</v>
      </c>
      <c r="S230" s="38">
        <v>0</v>
      </c>
      <c r="T230" s="39">
        <v>20</v>
      </c>
    </row>
    <row r="231" spans="1:20" ht="30.75" customHeight="1">
      <c r="A231" s="49"/>
      <c r="B231" s="50" t="s">
        <v>28</v>
      </c>
      <c r="C231" s="50" t="s">
        <v>21</v>
      </c>
      <c r="D231" s="50" t="s">
        <v>27</v>
      </c>
      <c r="E231" s="51" t="s">
        <v>112</v>
      </c>
      <c r="F231" s="43">
        <v>908</v>
      </c>
      <c r="G231" s="44" t="e">
        <f t="shared" ca="1" si="0"/>
        <v>#NAME?</v>
      </c>
      <c r="H231" s="43">
        <v>818</v>
      </c>
      <c r="I231" s="45" t="e">
        <f t="shared" ca="1" si="1"/>
        <v>#NAME?</v>
      </c>
      <c r="J231" s="43">
        <v>1211</v>
      </c>
      <c r="K231" s="45" t="e">
        <f t="shared" ca="1" si="2"/>
        <v>#NAME?</v>
      </c>
      <c r="L231" s="43">
        <v>850</v>
      </c>
      <c r="M231" s="45" t="e">
        <f t="shared" ca="1" si="3"/>
        <v>#NAME?</v>
      </c>
      <c r="N231" s="37">
        <v>16.329999999999998</v>
      </c>
      <c r="O231" s="46">
        <v>26.67</v>
      </c>
      <c r="P231" s="46">
        <v>29.41</v>
      </c>
      <c r="Q231" s="46">
        <v>16.670000000000002</v>
      </c>
      <c r="R231" s="46">
        <v>-6.66</v>
      </c>
      <c r="S231" s="46">
        <v>-12.28</v>
      </c>
      <c r="T231" s="47">
        <v>0</v>
      </c>
    </row>
    <row r="232" spans="1:20" ht="30.75" customHeight="1">
      <c r="A232" s="49"/>
      <c r="B232" s="52"/>
      <c r="C232" s="52"/>
      <c r="D232" s="52"/>
      <c r="E232" s="53"/>
      <c r="F232" s="36">
        <v>1115</v>
      </c>
      <c r="G232" s="28" t="e">
        <f t="shared" ca="1" si="0"/>
        <v>#NAME?</v>
      </c>
      <c r="H232" s="36">
        <v>1097</v>
      </c>
      <c r="I232" s="29" t="e">
        <f t="shared" ca="1" si="1"/>
        <v>#NAME?</v>
      </c>
      <c r="J232" s="36">
        <v>1216</v>
      </c>
      <c r="K232" s="29" t="e">
        <f t="shared" ca="1" si="2"/>
        <v>#NAME?</v>
      </c>
      <c r="L232" s="36">
        <v>1210</v>
      </c>
      <c r="M232" s="29" t="e">
        <f t="shared" ca="1" si="3"/>
        <v>#NAME?</v>
      </c>
      <c r="N232" s="37">
        <v>14.22</v>
      </c>
      <c r="O232" s="38">
        <v>0</v>
      </c>
      <c r="P232" s="38">
        <v>7.84</v>
      </c>
      <c r="Q232" s="38">
        <v>4.4400000000000004</v>
      </c>
      <c r="R232" s="38">
        <v>0</v>
      </c>
      <c r="S232" s="38">
        <v>68.42</v>
      </c>
      <c r="T232" s="39">
        <v>0</v>
      </c>
    </row>
    <row r="233" spans="1:20" ht="30.75" customHeight="1">
      <c r="A233" s="49"/>
      <c r="B233" s="52" t="s">
        <v>36</v>
      </c>
      <c r="C233" s="52" t="s">
        <v>19</v>
      </c>
      <c r="D233" s="52" t="s">
        <v>98</v>
      </c>
      <c r="E233" s="53"/>
      <c r="F233" s="36">
        <v>1115</v>
      </c>
      <c r="G233" s="28" t="e">
        <f t="shared" ca="1" si="0"/>
        <v>#NAME?</v>
      </c>
      <c r="H233" s="36">
        <v>1097</v>
      </c>
      <c r="I233" s="29" t="e">
        <f t="shared" ca="1" si="1"/>
        <v>#NAME?</v>
      </c>
      <c r="J233" s="36">
        <v>1216</v>
      </c>
      <c r="K233" s="29" t="e">
        <f t="shared" ca="1" si="2"/>
        <v>#NAME?</v>
      </c>
      <c r="L233" s="36">
        <v>1210</v>
      </c>
      <c r="M233" s="29" t="e">
        <f t="shared" ca="1" si="3"/>
        <v>#NAME?</v>
      </c>
      <c r="N233" s="37">
        <v>14.22</v>
      </c>
      <c r="O233" s="38">
        <v>0</v>
      </c>
      <c r="P233" s="38">
        <v>7.84</v>
      </c>
      <c r="Q233" s="38">
        <v>4.4400000000000004</v>
      </c>
      <c r="R233" s="38">
        <v>0</v>
      </c>
      <c r="S233" s="38">
        <v>68.42</v>
      </c>
      <c r="T233" s="39">
        <v>0</v>
      </c>
    </row>
    <row r="234" spans="1:20" ht="30.75" customHeight="1">
      <c r="A234" s="49"/>
      <c r="B234" s="50" t="s">
        <v>28</v>
      </c>
      <c r="C234" s="50" t="s">
        <v>29</v>
      </c>
      <c r="D234" s="50" t="s">
        <v>113</v>
      </c>
      <c r="E234" s="51" t="s">
        <v>114</v>
      </c>
      <c r="F234" s="43">
        <v>1036</v>
      </c>
      <c r="G234" s="44" t="e">
        <f t="shared" ca="1" si="0"/>
        <v>#NAME?</v>
      </c>
      <c r="H234" s="43">
        <v>1189</v>
      </c>
      <c r="I234" s="45" t="e">
        <f t="shared" ca="1" si="1"/>
        <v>#NAME?</v>
      </c>
      <c r="J234" s="43">
        <v>1219</v>
      </c>
      <c r="K234" s="45" t="e">
        <f t="shared" ca="1" si="2"/>
        <v>#NAME?</v>
      </c>
      <c r="L234" s="43">
        <v>1335</v>
      </c>
      <c r="M234" s="45" t="e">
        <f t="shared" ca="1" si="3"/>
        <v>#NAME?</v>
      </c>
      <c r="N234" s="37">
        <v>15.54</v>
      </c>
      <c r="O234" s="46">
        <v>7.02</v>
      </c>
      <c r="P234" s="46">
        <v>17.649999999999999</v>
      </c>
      <c r="Q234" s="46">
        <v>33.33</v>
      </c>
      <c r="R234" s="46">
        <v>0</v>
      </c>
      <c r="S234" s="46">
        <v>3.51</v>
      </c>
      <c r="T234" s="47">
        <v>5.56</v>
      </c>
    </row>
    <row r="235" spans="1:20" ht="30.75" customHeight="1">
      <c r="A235" s="49"/>
      <c r="B235" s="52" t="s">
        <v>36</v>
      </c>
      <c r="C235" s="52" t="s">
        <v>33</v>
      </c>
      <c r="D235" s="52" t="s">
        <v>73</v>
      </c>
      <c r="E235" s="53"/>
      <c r="F235" s="36">
        <v>1032</v>
      </c>
      <c r="G235" s="28" t="e">
        <f t="shared" ca="1" si="0"/>
        <v>#NAME?</v>
      </c>
      <c r="H235" s="36">
        <v>909</v>
      </c>
      <c r="I235" s="29" t="e">
        <f t="shared" ca="1" si="1"/>
        <v>#NAME?</v>
      </c>
      <c r="J235" s="36">
        <v>1246</v>
      </c>
      <c r="K235" s="29" t="e">
        <f t="shared" ca="1" si="2"/>
        <v>#NAME?</v>
      </c>
      <c r="L235" s="36">
        <v>867</v>
      </c>
      <c r="M235" s="29" t="e">
        <f t="shared" ca="1" si="3"/>
        <v>#NAME?</v>
      </c>
      <c r="N235" s="37">
        <v>16.86</v>
      </c>
      <c r="O235" s="38">
        <v>26.32</v>
      </c>
      <c r="P235" s="38">
        <v>17.649999999999999</v>
      </c>
      <c r="Q235" s="38">
        <v>0</v>
      </c>
      <c r="R235" s="38">
        <v>0</v>
      </c>
      <c r="S235" s="38">
        <v>0</v>
      </c>
      <c r="T235" s="39">
        <v>45.56</v>
      </c>
    </row>
    <row r="236" spans="1:20" ht="30.75" customHeight="1">
      <c r="A236" s="49"/>
      <c r="B236" s="52" t="s">
        <v>28</v>
      </c>
      <c r="C236" s="52" t="s">
        <v>29</v>
      </c>
      <c r="D236" s="52" t="s">
        <v>115</v>
      </c>
      <c r="E236" s="53"/>
      <c r="F236" s="36">
        <v>978</v>
      </c>
      <c r="G236" s="28" t="e">
        <f t="shared" ca="1" si="0"/>
        <v>#NAME?</v>
      </c>
      <c r="H236" s="36">
        <v>770</v>
      </c>
      <c r="I236" s="29" t="e">
        <f t="shared" ca="1" si="1"/>
        <v>#NAME?</v>
      </c>
      <c r="J236" s="36">
        <v>1263</v>
      </c>
      <c r="K236" s="29" t="e">
        <f t="shared" ca="1" si="2"/>
        <v>#NAME?</v>
      </c>
      <c r="L236" s="36">
        <v>934</v>
      </c>
      <c r="M236" s="29" t="e">
        <f t="shared" ca="1" si="3"/>
        <v>#NAME?</v>
      </c>
      <c r="N236" s="37">
        <v>15.84</v>
      </c>
      <c r="O236" s="38">
        <v>14.04</v>
      </c>
      <c r="P236" s="38">
        <v>35.29</v>
      </c>
      <c r="Q236" s="38">
        <v>4.17</v>
      </c>
      <c r="R236" s="38">
        <v>11.11</v>
      </c>
      <c r="S236" s="38">
        <v>0</v>
      </c>
      <c r="T236" s="39">
        <v>0</v>
      </c>
    </row>
    <row r="237" spans="1:20" ht="30.75" customHeight="1">
      <c r="A237" s="49"/>
      <c r="B237" s="52" t="s">
        <v>28</v>
      </c>
      <c r="C237" s="52" t="s">
        <v>29</v>
      </c>
      <c r="D237" s="52" t="s">
        <v>116</v>
      </c>
      <c r="E237" s="53"/>
      <c r="F237" s="36">
        <v>1028</v>
      </c>
      <c r="G237" s="28" t="e">
        <f t="shared" ca="1" si="0"/>
        <v>#NAME?</v>
      </c>
      <c r="H237" s="36">
        <v>955</v>
      </c>
      <c r="I237" s="29" t="e">
        <f t="shared" ca="1" si="1"/>
        <v>#NAME?</v>
      </c>
      <c r="J237" s="36">
        <v>1269</v>
      </c>
      <c r="K237" s="29" t="e">
        <f t="shared" ca="1" si="2"/>
        <v>#NAME?</v>
      </c>
      <c r="L237" s="36">
        <v>896</v>
      </c>
      <c r="M237" s="29" t="e">
        <f t="shared" ca="1" si="3"/>
        <v>#NAME?</v>
      </c>
      <c r="N237" s="37">
        <v>16.809999999999999</v>
      </c>
      <c r="O237" s="38">
        <v>28.07</v>
      </c>
      <c r="P237" s="38">
        <v>17.649999999999999</v>
      </c>
      <c r="Q237" s="38">
        <v>6.67</v>
      </c>
      <c r="R237" s="38">
        <v>-3.69</v>
      </c>
      <c r="S237" s="38">
        <v>0</v>
      </c>
      <c r="T237" s="39">
        <v>16.670000000000002</v>
      </c>
    </row>
    <row r="238" spans="1:20" ht="30.75" customHeight="1">
      <c r="A238" s="49"/>
      <c r="B238" s="52" t="s">
        <v>36</v>
      </c>
      <c r="C238" s="52" t="s">
        <v>30</v>
      </c>
      <c r="D238" s="52" t="s">
        <v>58</v>
      </c>
      <c r="E238" s="53"/>
      <c r="F238" s="36">
        <v>1109</v>
      </c>
      <c r="G238" s="28" t="e">
        <f t="shared" ca="1" si="0"/>
        <v>#NAME?</v>
      </c>
      <c r="H238" s="36">
        <v>868</v>
      </c>
      <c r="I238" s="29" t="e">
        <f t="shared" ca="1" si="1"/>
        <v>#NAME?</v>
      </c>
      <c r="J238" s="36">
        <v>1274</v>
      </c>
      <c r="K238" s="29" t="e">
        <f t="shared" ca="1" si="2"/>
        <v>#NAME?</v>
      </c>
      <c r="L238" s="36">
        <v>1101</v>
      </c>
      <c r="M238" s="29" t="e">
        <f t="shared" ca="1" si="3"/>
        <v>#NAME?</v>
      </c>
      <c r="N238" s="37">
        <v>15.97</v>
      </c>
      <c r="O238" s="38">
        <v>8.77</v>
      </c>
      <c r="P238" s="38">
        <v>31.37</v>
      </c>
      <c r="Q238" s="38">
        <v>4.4400000000000004</v>
      </c>
      <c r="R238" s="38">
        <v>18.52</v>
      </c>
      <c r="S238" s="38">
        <v>0</v>
      </c>
      <c r="T238" s="39">
        <v>0</v>
      </c>
    </row>
    <row r="239" spans="1:20" ht="30.75" customHeight="1">
      <c r="A239" s="49"/>
      <c r="B239" s="50" t="s">
        <v>28</v>
      </c>
      <c r="C239" s="50" t="s">
        <v>33</v>
      </c>
      <c r="D239" s="50" t="s">
        <v>73</v>
      </c>
      <c r="E239" s="51" t="s">
        <v>117</v>
      </c>
      <c r="F239" s="43">
        <v>1330</v>
      </c>
      <c r="G239" s="44" t="e">
        <f t="shared" ca="1" si="0"/>
        <v>#NAME?</v>
      </c>
      <c r="H239" s="43">
        <v>1462</v>
      </c>
      <c r="I239" s="45" t="e">
        <f t="shared" ca="1" si="1"/>
        <v>#NAME?</v>
      </c>
      <c r="J239" s="43">
        <v>1303</v>
      </c>
      <c r="K239" s="45" t="e">
        <f t="shared" ca="1" si="2"/>
        <v>#NAME?</v>
      </c>
      <c r="L239" s="43">
        <v>1104</v>
      </c>
      <c r="M239" s="45" t="e">
        <f t="shared" ca="1" si="3"/>
        <v>#NAME?</v>
      </c>
      <c r="N239" s="37">
        <v>19.62</v>
      </c>
      <c r="O239" s="46">
        <v>29.82</v>
      </c>
      <c r="P239" s="46">
        <v>-1.96</v>
      </c>
      <c r="Q239" s="46">
        <v>6.67</v>
      </c>
      <c r="R239" s="46">
        <v>0</v>
      </c>
      <c r="S239" s="46">
        <v>0</v>
      </c>
      <c r="T239" s="47">
        <v>25.56</v>
      </c>
    </row>
    <row r="240" spans="1:20" ht="30.75" customHeight="1">
      <c r="A240" s="49"/>
      <c r="B240" s="52" t="s">
        <v>28</v>
      </c>
      <c r="C240" s="52" t="s">
        <v>19</v>
      </c>
      <c r="D240" s="52" t="s">
        <v>101</v>
      </c>
      <c r="E240" s="53"/>
      <c r="F240" s="36">
        <v>1184</v>
      </c>
      <c r="G240" s="28" t="e">
        <f t="shared" ca="1" si="0"/>
        <v>#NAME?</v>
      </c>
      <c r="H240" s="36">
        <v>1175</v>
      </c>
      <c r="I240" s="29" t="e">
        <f t="shared" ca="1" si="1"/>
        <v>#NAME?</v>
      </c>
      <c r="J240" s="36">
        <v>1341</v>
      </c>
      <c r="K240" s="29" t="e">
        <f t="shared" ca="1" si="2"/>
        <v>#NAME?</v>
      </c>
      <c r="L240" s="36">
        <v>1091</v>
      </c>
      <c r="M240" s="29" t="e">
        <f t="shared" ca="1" si="3"/>
        <v>#NAME?</v>
      </c>
      <c r="N240" s="37">
        <v>16.73</v>
      </c>
      <c r="O240" s="38">
        <v>22.81</v>
      </c>
      <c r="P240" s="38">
        <v>13.73</v>
      </c>
      <c r="Q240" s="38">
        <v>13.33</v>
      </c>
      <c r="R240" s="38">
        <v>0</v>
      </c>
      <c r="S240" s="38">
        <v>0</v>
      </c>
      <c r="T240" s="39">
        <v>3.33</v>
      </c>
    </row>
    <row r="241" spans="1:20" ht="30.75" customHeight="1">
      <c r="A241" s="49"/>
      <c r="B241" s="52" t="s">
        <v>36</v>
      </c>
      <c r="C241" s="52" t="s">
        <v>30</v>
      </c>
      <c r="D241" s="52" t="s">
        <v>73</v>
      </c>
      <c r="E241" s="53"/>
      <c r="F241" s="36">
        <v>1172</v>
      </c>
      <c r="G241" s="28" t="e">
        <f t="shared" ca="1" si="0"/>
        <v>#NAME?</v>
      </c>
      <c r="H241" s="36">
        <v>1112</v>
      </c>
      <c r="I241" s="29" t="e">
        <f t="shared" ca="1" si="1"/>
        <v>#NAME?</v>
      </c>
      <c r="J241" s="36">
        <v>1348</v>
      </c>
      <c r="K241" s="29" t="e">
        <f t="shared" ca="1" si="2"/>
        <v>#NAME?</v>
      </c>
      <c r="L241" s="36">
        <v>1193</v>
      </c>
      <c r="M241" s="29" t="e">
        <f t="shared" ca="1" si="3"/>
        <v>#NAME?</v>
      </c>
      <c r="N241" s="37">
        <v>13.64</v>
      </c>
      <c r="O241" s="38">
        <v>17.54</v>
      </c>
      <c r="P241" s="38">
        <v>21.57</v>
      </c>
      <c r="Q241" s="38">
        <v>17.78</v>
      </c>
      <c r="R241" s="38">
        <v>7.41</v>
      </c>
      <c r="S241" s="38">
        <v>0</v>
      </c>
      <c r="T241" s="39">
        <v>0</v>
      </c>
    </row>
    <row r="242" spans="1:20" ht="30.75" customHeight="1">
      <c r="A242" s="49"/>
      <c r="B242" s="50" t="s">
        <v>70</v>
      </c>
      <c r="C242" s="50"/>
      <c r="D242" s="50"/>
      <c r="E242" s="51" t="s">
        <v>118</v>
      </c>
      <c r="F242" s="43">
        <v>1152</v>
      </c>
      <c r="G242" s="44" t="e">
        <f t="shared" ca="1" si="0"/>
        <v>#NAME?</v>
      </c>
      <c r="H242" s="43">
        <v>1222</v>
      </c>
      <c r="I242" s="45" t="e">
        <f t="shared" ca="1" si="1"/>
        <v>#NAME?</v>
      </c>
      <c r="J242" s="43">
        <v>1370</v>
      </c>
      <c r="K242" s="45" t="e">
        <f t="shared" ca="1" si="2"/>
        <v>#NAME?</v>
      </c>
      <c r="L242" s="43">
        <v>1113</v>
      </c>
      <c r="M242" s="45" t="e">
        <f t="shared" ca="1" si="3"/>
        <v>#NAME?</v>
      </c>
      <c r="N242" s="37">
        <v>16.73</v>
      </c>
      <c r="O242" s="46">
        <v>25</v>
      </c>
      <c r="P242" s="46">
        <v>13.73</v>
      </c>
      <c r="Q242" s="46">
        <v>17.78</v>
      </c>
      <c r="R242" s="46">
        <v>-3.69</v>
      </c>
      <c r="S242" s="46">
        <v>0</v>
      </c>
      <c r="T242" s="47">
        <v>0</v>
      </c>
    </row>
    <row r="243" spans="1:20" ht="30.75" customHeight="1">
      <c r="A243" s="49"/>
      <c r="B243" s="50"/>
      <c r="C243" s="50"/>
      <c r="D243" s="50"/>
      <c r="E243" s="51" t="s">
        <v>119</v>
      </c>
      <c r="F243" s="43">
        <v>1247</v>
      </c>
      <c r="G243" s="44" t="e">
        <f t="shared" ca="1" si="0"/>
        <v>#NAME?</v>
      </c>
      <c r="H243" s="43">
        <v>992</v>
      </c>
      <c r="I243" s="45" t="e">
        <f t="shared" ca="1" si="1"/>
        <v>#NAME?</v>
      </c>
      <c r="J243" s="43">
        <v>1381</v>
      </c>
      <c r="K243" s="45" t="e">
        <f t="shared" ca="1" si="2"/>
        <v>#NAME?</v>
      </c>
      <c r="L243" s="43">
        <v>1160</v>
      </c>
      <c r="M243" s="45" t="e">
        <f t="shared" ca="1" si="3"/>
        <v>#NAME?</v>
      </c>
      <c r="N243" s="37">
        <v>17.350000000000001</v>
      </c>
      <c r="O243" s="46">
        <v>12.28</v>
      </c>
      <c r="P243" s="46">
        <v>27.45</v>
      </c>
      <c r="Q243" s="46">
        <v>0</v>
      </c>
      <c r="R243" s="46">
        <v>18.52</v>
      </c>
      <c r="S243" s="46">
        <v>0</v>
      </c>
      <c r="T243" s="47">
        <v>3.33</v>
      </c>
    </row>
    <row r="244" spans="1:20" ht="30.75" customHeight="1">
      <c r="A244" s="49"/>
      <c r="B244" s="52" t="s">
        <v>28</v>
      </c>
      <c r="C244" s="52" t="s">
        <v>33</v>
      </c>
      <c r="D244" s="52" t="s">
        <v>105</v>
      </c>
      <c r="E244" s="53"/>
      <c r="F244" s="36">
        <v>1223</v>
      </c>
      <c r="G244" s="28" t="e">
        <f t="shared" ca="1" si="0"/>
        <v>#NAME?</v>
      </c>
      <c r="H244" s="36">
        <v>1242</v>
      </c>
      <c r="I244" s="29" t="e">
        <f t="shared" ca="1" si="1"/>
        <v>#NAME?</v>
      </c>
      <c r="J244" s="36">
        <v>1393</v>
      </c>
      <c r="K244" s="29" t="e">
        <f t="shared" ca="1" si="2"/>
        <v>#NAME?</v>
      </c>
      <c r="L244" s="36">
        <v>1206</v>
      </c>
      <c r="M244" s="29" t="e">
        <f t="shared" ca="1" si="3"/>
        <v>#NAME?</v>
      </c>
      <c r="N244" s="37">
        <v>18.75</v>
      </c>
      <c r="O244" s="38">
        <v>15.79</v>
      </c>
      <c r="P244" s="38">
        <v>9.8000000000000007</v>
      </c>
      <c r="Q244" s="38">
        <v>11.11</v>
      </c>
      <c r="R244" s="38">
        <v>-7.4</v>
      </c>
      <c r="S244" s="38">
        <v>0</v>
      </c>
      <c r="T244" s="39">
        <v>35.56</v>
      </c>
    </row>
    <row r="245" spans="1:20" ht="30.75" customHeight="1">
      <c r="A245" s="49"/>
      <c r="B245" s="52" t="s">
        <v>28</v>
      </c>
      <c r="C245" s="52" t="s">
        <v>29</v>
      </c>
      <c r="D245" s="52" t="s">
        <v>102</v>
      </c>
      <c r="E245" s="53"/>
      <c r="F245" s="36">
        <v>1186</v>
      </c>
      <c r="G245" s="28" t="e">
        <f t="shared" ca="1" si="0"/>
        <v>#NAME?</v>
      </c>
      <c r="H245" s="36">
        <v>1030</v>
      </c>
      <c r="I245" s="29" t="e">
        <f t="shared" ca="1" si="1"/>
        <v>#NAME?</v>
      </c>
      <c r="J245" s="36">
        <v>1403</v>
      </c>
      <c r="K245" s="29" t="e">
        <f t="shared" ca="1" si="2"/>
        <v>#NAME?</v>
      </c>
      <c r="L245" s="36">
        <v>882</v>
      </c>
      <c r="M245" s="29" t="e">
        <f t="shared" ca="1" si="3"/>
        <v>#NAME?</v>
      </c>
      <c r="N245" s="37">
        <v>15.94</v>
      </c>
      <c r="O245" s="38">
        <v>36.840000000000003</v>
      </c>
      <c r="P245" s="38">
        <v>17.649999999999999</v>
      </c>
      <c r="Q245" s="38">
        <v>0</v>
      </c>
      <c r="R245" s="38">
        <v>0</v>
      </c>
      <c r="S245" s="38">
        <v>0</v>
      </c>
      <c r="T245" s="39">
        <v>0</v>
      </c>
    </row>
    <row r="246" spans="1:20" ht="30.75" customHeight="1">
      <c r="A246" s="49"/>
      <c r="B246" s="52" t="s">
        <v>28</v>
      </c>
      <c r="C246" s="52" t="s">
        <v>29</v>
      </c>
      <c r="D246" s="52" t="s">
        <v>107</v>
      </c>
      <c r="E246" s="53"/>
      <c r="F246" s="36">
        <v>1661</v>
      </c>
      <c r="G246" s="28" t="e">
        <f t="shared" ca="1" si="0"/>
        <v>#NAME?</v>
      </c>
      <c r="H246" s="36">
        <v>2156</v>
      </c>
      <c r="I246" s="29" t="e">
        <f t="shared" ca="1" si="1"/>
        <v>#NAME?</v>
      </c>
      <c r="J246" s="36">
        <v>1407</v>
      </c>
      <c r="K246" s="29" t="e">
        <f t="shared" ca="1" si="2"/>
        <v>#NAME?</v>
      </c>
      <c r="L246" s="36">
        <v>1811</v>
      </c>
      <c r="M246" s="29" t="e">
        <f t="shared" ca="1" si="3"/>
        <v>#NAME?</v>
      </c>
      <c r="N246" s="37">
        <v>17.59</v>
      </c>
      <c r="O246" s="38">
        <v>13.33</v>
      </c>
      <c r="P246" s="38">
        <v>-7.4</v>
      </c>
      <c r="Q246" s="38">
        <v>17.649999999999999</v>
      </c>
      <c r="R246" s="38">
        <v>11.11</v>
      </c>
      <c r="S246" s="38">
        <v>3.51</v>
      </c>
      <c r="T246" s="39">
        <v>0</v>
      </c>
    </row>
    <row r="247" spans="1:20" ht="30.75" customHeight="1">
      <c r="A247" s="49"/>
      <c r="B247" s="50" t="s">
        <v>28</v>
      </c>
      <c r="C247" s="50" t="s">
        <v>19</v>
      </c>
      <c r="D247" s="50" t="s">
        <v>74</v>
      </c>
      <c r="E247" s="51" t="s">
        <v>120</v>
      </c>
      <c r="F247" s="43">
        <v>1613</v>
      </c>
      <c r="G247" s="44" t="e">
        <f t="shared" ca="1" si="0"/>
        <v>#NAME?</v>
      </c>
      <c r="H247" s="43">
        <v>1414</v>
      </c>
      <c r="I247" s="45" t="e">
        <f t="shared" ca="1" si="1"/>
        <v>#NAME?</v>
      </c>
      <c r="J247" s="43">
        <v>1424</v>
      </c>
      <c r="K247" s="45" t="e">
        <f t="shared" ca="1" si="2"/>
        <v>#NAME?</v>
      </c>
      <c r="L247" s="43">
        <v>1744</v>
      </c>
      <c r="M247" s="45" t="e">
        <f t="shared" ca="1" si="3"/>
        <v>#NAME?</v>
      </c>
      <c r="N247" s="37">
        <v>17.899999999999999</v>
      </c>
      <c r="O247" s="46">
        <v>0</v>
      </c>
      <c r="P247" s="46">
        <v>15.69</v>
      </c>
      <c r="Q247" s="46">
        <v>0</v>
      </c>
      <c r="R247" s="46">
        <v>29.63</v>
      </c>
      <c r="S247" s="46">
        <v>0</v>
      </c>
      <c r="T247" s="47">
        <v>30</v>
      </c>
    </row>
    <row r="248" spans="1:20" ht="30.75" customHeight="1">
      <c r="A248" s="49"/>
      <c r="B248" s="50" t="s">
        <v>28</v>
      </c>
      <c r="C248" s="50" t="s">
        <v>29</v>
      </c>
      <c r="D248" s="50" t="s">
        <v>74</v>
      </c>
      <c r="E248" s="51" t="s">
        <v>121</v>
      </c>
      <c r="F248" s="43">
        <v>1610</v>
      </c>
      <c r="G248" s="44" t="e">
        <f t="shared" ca="1" si="0"/>
        <v>#NAME?</v>
      </c>
      <c r="H248" s="43">
        <v>1508</v>
      </c>
      <c r="I248" s="45" t="e">
        <f t="shared" ca="1" si="1"/>
        <v>#NAME?</v>
      </c>
      <c r="J248" s="43">
        <v>1429</v>
      </c>
      <c r="K248" s="45" t="e">
        <f t="shared" ca="1" si="2"/>
        <v>#NAME?</v>
      </c>
      <c r="L248" s="43">
        <v>1222</v>
      </c>
      <c r="M248" s="45" t="e">
        <f t="shared" ca="1" si="3"/>
        <v>#NAME?</v>
      </c>
      <c r="N248" s="37">
        <v>17.66</v>
      </c>
      <c r="O248" s="46">
        <v>28.07</v>
      </c>
      <c r="P248" s="46">
        <v>5.88</v>
      </c>
      <c r="Q248" s="46">
        <v>-6.25</v>
      </c>
      <c r="R248" s="46">
        <v>18.52</v>
      </c>
      <c r="S248" s="46">
        <v>-5.25</v>
      </c>
      <c r="T248" s="47">
        <v>18.89</v>
      </c>
    </row>
    <row r="249" spans="1:20" ht="30.75" customHeight="1">
      <c r="A249" s="49"/>
      <c r="B249" s="50" t="s">
        <v>28</v>
      </c>
      <c r="C249" s="50" t="s">
        <v>19</v>
      </c>
      <c r="D249" s="50" t="s">
        <v>74</v>
      </c>
      <c r="E249" s="51" t="s">
        <v>122</v>
      </c>
      <c r="F249" s="43">
        <v>1643</v>
      </c>
      <c r="G249" s="44" t="e">
        <f t="shared" ca="1" si="0"/>
        <v>#NAME?</v>
      </c>
      <c r="H249" s="43">
        <v>1647</v>
      </c>
      <c r="I249" s="45" t="e">
        <f t="shared" ca="1" si="1"/>
        <v>#NAME?</v>
      </c>
      <c r="J249" s="43">
        <v>1429</v>
      </c>
      <c r="K249" s="45" t="e">
        <f t="shared" ca="1" si="2"/>
        <v>#NAME?</v>
      </c>
      <c r="L249" s="43">
        <v>1507</v>
      </c>
      <c r="M249" s="45" t="e">
        <f t="shared" ca="1" si="3"/>
        <v>#NAME?</v>
      </c>
      <c r="N249" s="37">
        <v>17.11</v>
      </c>
      <c r="O249" s="46">
        <v>14.04</v>
      </c>
      <c r="P249" s="46">
        <v>3.92</v>
      </c>
      <c r="Q249" s="46">
        <v>0</v>
      </c>
      <c r="R249" s="46">
        <v>18.52</v>
      </c>
      <c r="S249" s="46">
        <v>8.77</v>
      </c>
      <c r="T249" s="47">
        <v>32.22</v>
      </c>
    </row>
    <row r="250" spans="1:20" ht="30.75" customHeight="1">
      <c r="A250" s="49"/>
      <c r="B250" s="50" t="s">
        <v>28</v>
      </c>
      <c r="C250" s="50" t="s">
        <v>19</v>
      </c>
      <c r="D250" s="50" t="s">
        <v>73</v>
      </c>
      <c r="E250" s="51" t="s">
        <v>123</v>
      </c>
      <c r="F250" s="43">
        <v>1537</v>
      </c>
      <c r="G250" s="44" t="e">
        <f t="shared" ca="1" si="0"/>
        <v>#NAME?</v>
      </c>
      <c r="H250" s="43">
        <v>1582</v>
      </c>
      <c r="I250" s="45" t="e">
        <f t="shared" ca="1" si="1"/>
        <v>#NAME?</v>
      </c>
      <c r="J250" s="43">
        <v>1460</v>
      </c>
      <c r="K250" s="45" t="e">
        <f t="shared" ca="1" si="2"/>
        <v>#NAME?</v>
      </c>
      <c r="L250" s="43">
        <v>1679</v>
      </c>
      <c r="M250" s="45" t="e">
        <f t="shared" ca="1" si="3"/>
        <v>#NAME?</v>
      </c>
      <c r="N250" s="37">
        <v>19.39</v>
      </c>
      <c r="O250" s="46">
        <v>1.75</v>
      </c>
      <c r="P250" s="46">
        <v>5.88</v>
      </c>
      <c r="Q250" s="46">
        <v>4.4400000000000004</v>
      </c>
      <c r="R250" s="46">
        <v>11.11</v>
      </c>
      <c r="S250" s="46">
        <v>5.26</v>
      </c>
      <c r="T250" s="47">
        <v>60</v>
      </c>
    </row>
    <row r="251" spans="1:20" ht="30.75" customHeight="1">
      <c r="A251" s="49"/>
      <c r="B251" s="52" t="s">
        <v>36</v>
      </c>
      <c r="C251" s="52" t="s">
        <v>33</v>
      </c>
      <c r="D251" s="52" t="s">
        <v>85</v>
      </c>
      <c r="E251" s="53"/>
      <c r="F251" s="36">
        <v>1707</v>
      </c>
      <c r="G251" s="28" t="e">
        <f t="shared" ca="1" si="0"/>
        <v>#NAME?</v>
      </c>
      <c r="H251" s="36">
        <v>1606</v>
      </c>
      <c r="I251" s="29" t="e">
        <f t="shared" ca="1" si="1"/>
        <v>#NAME?</v>
      </c>
      <c r="J251" s="36">
        <v>1504</v>
      </c>
      <c r="K251" s="29" t="e">
        <f t="shared" ca="1" si="2"/>
        <v>#NAME?</v>
      </c>
      <c r="L251" s="36">
        <v>1740</v>
      </c>
      <c r="M251" s="29" t="e">
        <f t="shared" ca="1" si="3"/>
        <v>#NAME?</v>
      </c>
      <c r="N251" s="37">
        <v>18.78</v>
      </c>
      <c r="O251" s="38">
        <v>5.26</v>
      </c>
      <c r="P251" s="38">
        <v>9.8000000000000007</v>
      </c>
      <c r="Q251" s="38">
        <v>0</v>
      </c>
      <c r="R251" s="38">
        <v>22.22</v>
      </c>
      <c r="S251" s="38">
        <v>0</v>
      </c>
      <c r="T251" s="39">
        <v>15.56</v>
      </c>
    </row>
    <row r="252" spans="1:20" ht="30.75" customHeight="1">
      <c r="A252" s="49"/>
      <c r="B252" s="52" t="s">
        <v>28</v>
      </c>
      <c r="C252" s="52" t="s">
        <v>30</v>
      </c>
      <c r="D252" s="52" t="s">
        <v>79</v>
      </c>
      <c r="E252" s="53"/>
      <c r="F252" s="36">
        <v>1326</v>
      </c>
      <c r="G252" s="28" t="e">
        <f t="shared" ca="1" si="0"/>
        <v>#NAME?</v>
      </c>
      <c r="H252" s="36">
        <v>1049</v>
      </c>
      <c r="I252" s="29" t="e">
        <f t="shared" ca="1" si="1"/>
        <v>#NAME?</v>
      </c>
      <c r="J252" s="36">
        <v>1511</v>
      </c>
      <c r="K252" s="29" t="e">
        <f t="shared" ca="1" si="2"/>
        <v>#NAME?</v>
      </c>
      <c r="L252" s="36">
        <v>1331</v>
      </c>
      <c r="M252" s="29" t="e">
        <f t="shared" ca="1" si="3"/>
        <v>#NAME?</v>
      </c>
      <c r="N252" s="37">
        <v>17.79</v>
      </c>
      <c r="O252" s="38">
        <v>1.75</v>
      </c>
      <c r="P252" s="38">
        <v>23.53</v>
      </c>
      <c r="Q252" s="38">
        <v>-4.43</v>
      </c>
      <c r="R252" s="38">
        <v>11.11</v>
      </c>
      <c r="S252" s="38">
        <v>0</v>
      </c>
      <c r="T252" s="39">
        <v>64.44</v>
      </c>
    </row>
    <row r="253" spans="1:20" ht="30.75" customHeight="1">
      <c r="A253" s="49"/>
      <c r="B253" s="52" t="s">
        <v>28</v>
      </c>
      <c r="C253" s="52" t="s">
        <v>30</v>
      </c>
      <c r="D253" s="52" t="s">
        <v>124</v>
      </c>
      <c r="E253" s="53"/>
      <c r="F253" s="36">
        <v>1206</v>
      </c>
      <c r="G253" s="28" t="e">
        <f t="shared" ca="1" si="0"/>
        <v>#NAME?</v>
      </c>
      <c r="H253" s="36">
        <v>958</v>
      </c>
      <c r="I253" s="29" t="e">
        <f t="shared" ca="1" si="1"/>
        <v>#NAME?</v>
      </c>
      <c r="J253" s="36">
        <v>1566</v>
      </c>
      <c r="K253" s="29" t="e">
        <f t="shared" ca="1" si="2"/>
        <v>#NAME?</v>
      </c>
      <c r="L253" s="36">
        <v>1162</v>
      </c>
      <c r="M253" s="29" t="e">
        <f t="shared" ca="1" si="3"/>
        <v>#NAME?</v>
      </c>
      <c r="N253" s="37">
        <v>14.47</v>
      </c>
      <c r="O253" s="38">
        <v>14.04</v>
      </c>
      <c r="P253" s="38">
        <v>31.37</v>
      </c>
      <c r="Q253" s="38">
        <v>6.67</v>
      </c>
      <c r="R253" s="38">
        <v>7.41</v>
      </c>
      <c r="S253" s="38">
        <v>0</v>
      </c>
      <c r="T253" s="39">
        <v>6.67</v>
      </c>
    </row>
    <row r="254" spans="1:20" ht="30.75" customHeight="1">
      <c r="A254" s="49"/>
      <c r="B254" s="50" t="s">
        <v>28</v>
      </c>
      <c r="C254" s="50" t="s">
        <v>30</v>
      </c>
      <c r="D254" s="50" t="s">
        <v>79</v>
      </c>
      <c r="E254" s="51" t="s">
        <v>125</v>
      </c>
      <c r="F254" s="43">
        <v>1786</v>
      </c>
      <c r="G254" s="44" t="e">
        <f t="shared" ca="1" si="0"/>
        <v>#NAME?</v>
      </c>
      <c r="H254" s="43">
        <v>1750</v>
      </c>
      <c r="I254" s="45" t="e">
        <f t="shared" ca="1" si="1"/>
        <v>#NAME?</v>
      </c>
      <c r="J254" s="43">
        <v>1569</v>
      </c>
      <c r="K254" s="45" t="e">
        <f t="shared" ca="1" si="2"/>
        <v>#NAME?</v>
      </c>
      <c r="L254" s="43">
        <v>1552</v>
      </c>
      <c r="M254" s="45" t="e">
        <f t="shared" ca="1" si="3"/>
        <v>#NAME?</v>
      </c>
      <c r="N254" s="37">
        <v>17</v>
      </c>
      <c r="O254" s="46">
        <v>19.3</v>
      </c>
      <c r="P254" s="46">
        <v>5.88</v>
      </c>
      <c r="Q254" s="46">
        <v>0</v>
      </c>
      <c r="R254" s="46">
        <v>18.52</v>
      </c>
      <c r="S254" s="46">
        <v>0</v>
      </c>
      <c r="T254" s="47">
        <v>20</v>
      </c>
    </row>
    <row r="255" spans="1:20" ht="30.75" customHeight="1">
      <c r="A255" s="49"/>
      <c r="B255" s="52"/>
      <c r="C255" s="52"/>
      <c r="D255" s="52"/>
      <c r="E255" s="53"/>
      <c r="F255" s="36">
        <v>1788</v>
      </c>
      <c r="G255" s="28" t="e">
        <f t="shared" ca="1" si="0"/>
        <v>#NAME?</v>
      </c>
      <c r="H255" s="36">
        <v>2100</v>
      </c>
      <c r="I255" s="29" t="e">
        <f t="shared" ca="1" si="1"/>
        <v>#NAME?</v>
      </c>
      <c r="J255" s="36">
        <v>1579</v>
      </c>
      <c r="K255" s="29" t="e">
        <f t="shared" ca="1" si="2"/>
        <v>#NAME?</v>
      </c>
      <c r="L255" s="36">
        <v>1901</v>
      </c>
      <c r="M255" s="29" t="e">
        <f t="shared" ca="1" si="3"/>
        <v>#NAME?</v>
      </c>
      <c r="N255" s="37">
        <v>16.579999999999998</v>
      </c>
      <c r="O255" s="38">
        <v>10.53</v>
      </c>
      <c r="P255" s="38">
        <v>0</v>
      </c>
      <c r="Q255" s="38">
        <v>13.33</v>
      </c>
      <c r="R255" s="38">
        <v>11.11</v>
      </c>
      <c r="S255" s="38">
        <v>0</v>
      </c>
      <c r="T255" s="39">
        <v>31.11</v>
      </c>
    </row>
    <row r="256" spans="1:20" ht="30.75" customHeight="1">
      <c r="A256" s="49"/>
      <c r="B256" s="52" t="s">
        <v>28</v>
      </c>
      <c r="C256" s="52" t="s">
        <v>31</v>
      </c>
      <c r="D256" s="52" t="s">
        <v>126</v>
      </c>
      <c r="E256" s="53"/>
      <c r="F256" s="36">
        <v>1355</v>
      </c>
      <c r="G256" s="28" t="e">
        <f t="shared" ca="1" si="0"/>
        <v>#NAME?</v>
      </c>
      <c r="H256" s="36">
        <v>1294</v>
      </c>
      <c r="I256" s="29" t="e">
        <f t="shared" ca="1" si="1"/>
        <v>#NAME?</v>
      </c>
      <c r="J256" s="36">
        <v>1659</v>
      </c>
      <c r="K256" s="29" t="e">
        <f t="shared" ca="1" si="2"/>
        <v>#NAME?</v>
      </c>
      <c r="L256" s="36">
        <v>1367</v>
      </c>
      <c r="M256" s="29" t="e">
        <f t="shared" ca="1" si="3"/>
        <v>#NAME?</v>
      </c>
      <c r="N256" s="37">
        <v>15.53</v>
      </c>
      <c r="O256" s="38">
        <v>15.79</v>
      </c>
      <c r="P256" s="38">
        <v>17.649999999999999</v>
      </c>
      <c r="Q256" s="38">
        <v>13.33</v>
      </c>
      <c r="R256" s="38">
        <v>0</v>
      </c>
      <c r="S256" s="38">
        <v>-1.74</v>
      </c>
      <c r="T256" s="39">
        <v>16.670000000000002</v>
      </c>
    </row>
    <row r="257" spans="1:20" ht="30.75" customHeight="1">
      <c r="A257" s="49"/>
      <c r="B257" s="52" t="s">
        <v>28</v>
      </c>
      <c r="C257" s="52" t="s">
        <v>31</v>
      </c>
      <c r="D257" s="52" t="s">
        <v>108</v>
      </c>
      <c r="E257" s="53"/>
      <c r="F257" s="36">
        <v>1234</v>
      </c>
      <c r="G257" s="28" t="e">
        <f t="shared" ca="1" si="0"/>
        <v>#NAME?</v>
      </c>
      <c r="H257" s="36">
        <v>970</v>
      </c>
      <c r="I257" s="29" t="e">
        <f t="shared" ca="1" si="1"/>
        <v>#NAME?</v>
      </c>
      <c r="J257" s="36">
        <v>1713</v>
      </c>
      <c r="K257" s="29" t="e">
        <f t="shared" ca="1" si="2"/>
        <v>#NAME?</v>
      </c>
      <c r="L257" s="36">
        <v>981</v>
      </c>
      <c r="M257" s="29" t="e">
        <f t="shared" ca="1" si="3"/>
        <v>#NAME?</v>
      </c>
      <c r="N257" s="37">
        <v>15.49</v>
      </c>
      <c r="O257" s="38">
        <v>28.07</v>
      </c>
      <c r="P257" s="38">
        <v>27.45</v>
      </c>
      <c r="Q257" s="38">
        <v>0</v>
      </c>
      <c r="R257" s="38">
        <v>-3.69</v>
      </c>
      <c r="S257" s="38">
        <v>0</v>
      </c>
      <c r="T257" s="39">
        <v>2.2200000000000002</v>
      </c>
    </row>
    <row r="258" spans="1:20" ht="30.75" customHeight="1">
      <c r="A258" s="49"/>
      <c r="B258" s="50" t="s">
        <v>36</v>
      </c>
      <c r="C258" s="50" t="s">
        <v>19</v>
      </c>
      <c r="D258" s="50" t="s">
        <v>53</v>
      </c>
      <c r="E258" s="51" t="s">
        <v>127</v>
      </c>
      <c r="F258" s="43">
        <v>2443</v>
      </c>
      <c r="G258" s="44" t="e">
        <f t="shared" ca="1" si="0"/>
        <v>#NAME?</v>
      </c>
      <c r="H258" s="43">
        <v>2451</v>
      </c>
      <c r="I258" s="45" t="e">
        <f t="shared" ca="1" si="1"/>
        <v>#NAME?</v>
      </c>
      <c r="J258" s="43">
        <v>1769</v>
      </c>
      <c r="K258" s="45" t="e">
        <f t="shared" ca="1" si="2"/>
        <v>#NAME?</v>
      </c>
      <c r="L258" s="43">
        <v>2729</v>
      </c>
      <c r="M258" s="45" t="e">
        <f t="shared" ca="1" si="3"/>
        <v>#NAME?</v>
      </c>
      <c r="N258" s="37">
        <v>17.440000000000001</v>
      </c>
      <c r="O258" s="46">
        <v>0</v>
      </c>
      <c r="P258" s="46">
        <v>5.88</v>
      </c>
      <c r="Q258" s="46">
        <v>6.25</v>
      </c>
      <c r="R258" s="46">
        <v>33.33</v>
      </c>
      <c r="S258" s="46">
        <v>-12.28</v>
      </c>
      <c r="T258" s="47">
        <v>11.11</v>
      </c>
    </row>
    <row r="259" spans="1:20" ht="30.75" customHeight="1">
      <c r="A259" s="49"/>
      <c r="B259" s="52"/>
      <c r="C259" s="52"/>
      <c r="D259" s="52"/>
      <c r="E259" s="53"/>
      <c r="F259" s="36">
        <v>1779</v>
      </c>
      <c r="G259" s="28" t="e">
        <f t="shared" ca="1" si="0"/>
        <v>#NAME?</v>
      </c>
      <c r="H259" s="36">
        <v>1554</v>
      </c>
      <c r="I259" s="29" t="e">
        <f t="shared" ca="1" si="1"/>
        <v>#NAME?</v>
      </c>
      <c r="J259" s="36">
        <v>1819</v>
      </c>
      <c r="K259" s="29" t="e">
        <f t="shared" ca="1" si="2"/>
        <v>#NAME?</v>
      </c>
      <c r="L259" s="36">
        <v>2058</v>
      </c>
      <c r="M259" s="29" t="e">
        <f t="shared" ca="1" si="3"/>
        <v>#NAME?</v>
      </c>
      <c r="N259" s="37">
        <v>13.21</v>
      </c>
      <c r="O259" s="38">
        <v>0</v>
      </c>
      <c r="P259" s="38">
        <v>21.57</v>
      </c>
      <c r="Q259" s="38">
        <v>8.89</v>
      </c>
      <c r="R259" s="38">
        <v>22.22</v>
      </c>
      <c r="S259" s="38">
        <v>8.77</v>
      </c>
      <c r="T259" s="39">
        <v>0</v>
      </c>
    </row>
    <row r="260" spans="1:20" ht="30.75" customHeight="1">
      <c r="A260" s="49"/>
      <c r="B260" s="52"/>
      <c r="C260" s="52"/>
      <c r="D260" s="52"/>
      <c r="E260" s="53"/>
      <c r="F260" s="36">
        <v>1872</v>
      </c>
      <c r="G260" s="28" t="e">
        <f t="shared" ca="1" si="0"/>
        <v>#NAME?</v>
      </c>
      <c r="H260" s="36">
        <v>2508</v>
      </c>
      <c r="I260" s="29" t="e">
        <f t="shared" ca="1" si="1"/>
        <v>#NAME?</v>
      </c>
      <c r="J260" s="36">
        <v>1832</v>
      </c>
      <c r="K260" s="29" t="e">
        <f t="shared" ca="1" si="2"/>
        <v>#NAME?</v>
      </c>
      <c r="L260" s="36">
        <v>2572</v>
      </c>
      <c r="M260" s="29" t="e">
        <f t="shared" ca="1" si="3"/>
        <v>#NAME?</v>
      </c>
      <c r="N260" s="37">
        <v>15.05</v>
      </c>
      <c r="O260" s="38">
        <v>3.51</v>
      </c>
      <c r="P260" s="38">
        <v>1.96</v>
      </c>
      <c r="Q260" s="38">
        <v>31.11</v>
      </c>
      <c r="R260" s="38">
        <v>3.7</v>
      </c>
      <c r="S260" s="38">
        <v>-1.74</v>
      </c>
      <c r="T260" s="39">
        <v>12.22</v>
      </c>
    </row>
    <row r="261" spans="1:20" ht="30.75" customHeight="1">
      <c r="A261" s="49"/>
      <c r="B261" s="52" t="s">
        <v>28</v>
      </c>
      <c r="C261" s="52" t="s">
        <v>19</v>
      </c>
      <c r="D261" s="52" t="s">
        <v>128</v>
      </c>
      <c r="E261" s="53"/>
      <c r="F261" s="36">
        <v>2083</v>
      </c>
      <c r="G261" s="28" t="e">
        <f t="shared" ca="1" si="0"/>
        <v>#NAME?</v>
      </c>
      <c r="H261" s="36">
        <v>1736</v>
      </c>
      <c r="I261" s="29" t="e">
        <f t="shared" ca="1" si="1"/>
        <v>#NAME?</v>
      </c>
      <c r="J261" s="36">
        <v>1884</v>
      </c>
      <c r="K261" s="29" t="e">
        <f t="shared" ca="1" si="2"/>
        <v>#NAME?</v>
      </c>
      <c r="L261" s="36">
        <v>1783</v>
      </c>
      <c r="M261" s="29" t="e">
        <f t="shared" ca="1" si="3"/>
        <v>#NAME?</v>
      </c>
      <c r="N261" s="37">
        <v>16.05</v>
      </c>
      <c r="O261" s="38">
        <v>14.04</v>
      </c>
      <c r="P261" s="38">
        <v>13.73</v>
      </c>
      <c r="Q261" s="38">
        <v>-4.43</v>
      </c>
      <c r="R261" s="38">
        <v>22.22</v>
      </c>
      <c r="S261" s="38">
        <v>0</v>
      </c>
      <c r="T261" s="39">
        <v>0</v>
      </c>
    </row>
    <row r="262" spans="1:20" ht="30.75" customHeight="1">
      <c r="A262" s="49"/>
      <c r="B262" s="52"/>
      <c r="C262" s="52"/>
      <c r="D262" s="52"/>
      <c r="E262" s="53"/>
      <c r="F262" s="36">
        <v>2059</v>
      </c>
      <c r="G262" s="28" t="e">
        <f t="shared" ref="G262:G300" ca="1" si="4">kkk(T262,S262,R262,Q262,P262,O262,4)</f>
        <v>#NAME?</v>
      </c>
      <c r="H262" s="36">
        <v>1716</v>
      </c>
      <c r="I262" s="29" t="e">
        <f t="shared" ref="I262:I300" ca="1" si="5">kkk(T262,S262,R262,Q262,P262,O262,3)</f>
        <v>#NAME?</v>
      </c>
      <c r="J262" s="36">
        <v>1896</v>
      </c>
      <c r="K262" s="29" t="e">
        <f t="shared" ref="K262:K300" ca="1" si="6">kkk(T262,S262,R262,Q262,P262,O262,2)</f>
        <v>#NAME?</v>
      </c>
      <c r="L262" s="36">
        <v>2227</v>
      </c>
      <c r="M262" s="29" t="e">
        <f t="shared" ref="M262:M300" ca="1" si="7">kkk(T262,S262,R262,Q262,P262,O262,1)</f>
        <v>#NAME?</v>
      </c>
      <c r="N262" s="37">
        <v>17.89</v>
      </c>
      <c r="O262" s="38">
        <v>-7.01</v>
      </c>
      <c r="P262" s="38">
        <v>15.69</v>
      </c>
      <c r="Q262" s="38">
        <v>-2.21</v>
      </c>
      <c r="R262" s="38">
        <v>22.22</v>
      </c>
      <c r="S262" s="38">
        <v>0</v>
      </c>
      <c r="T262" s="39">
        <v>31.11</v>
      </c>
    </row>
    <row r="263" spans="1:20" ht="30.75" customHeight="1">
      <c r="A263" s="49"/>
      <c r="B263" s="52" t="s">
        <v>36</v>
      </c>
      <c r="C263" s="52" t="s">
        <v>29</v>
      </c>
      <c r="D263" s="52" t="s">
        <v>98</v>
      </c>
      <c r="E263" s="53"/>
      <c r="F263" s="36">
        <v>1491</v>
      </c>
      <c r="G263" s="28" t="e">
        <f t="shared" ca="1" si="4"/>
        <v>#NAME?</v>
      </c>
      <c r="H263" s="36">
        <v>1192</v>
      </c>
      <c r="I263" s="29" t="e">
        <f t="shared" ca="1" si="5"/>
        <v>#NAME?</v>
      </c>
      <c r="J263" s="36">
        <v>1926</v>
      </c>
      <c r="K263" s="29" t="e">
        <f t="shared" ca="1" si="6"/>
        <v>#NAME?</v>
      </c>
      <c r="L263" s="36">
        <v>1355</v>
      </c>
      <c r="M263" s="29" t="e">
        <f t="shared" ca="1" si="7"/>
        <v>#NAME?</v>
      </c>
      <c r="N263" s="37">
        <v>17.23</v>
      </c>
      <c r="O263" s="38">
        <v>12.28</v>
      </c>
      <c r="P263" s="38">
        <v>21.57</v>
      </c>
      <c r="Q263" s="38">
        <v>-4.43</v>
      </c>
      <c r="R263" s="38">
        <v>0</v>
      </c>
      <c r="S263" s="38">
        <v>-1.74</v>
      </c>
      <c r="T263" s="39">
        <v>52.22</v>
      </c>
    </row>
    <row r="264" spans="1:20" ht="30.75" customHeight="1">
      <c r="A264" s="49"/>
      <c r="B264" s="50" t="s">
        <v>28</v>
      </c>
      <c r="C264" s="50" t="s">
        <v>29</v>
      </c>
      <c r="D264" s="50" t="s">
        <v>113</v>
      </c>
      <c r="E264" s="51" t="s">
        <v>129</v>
      </c>
      <c r="F264" s="43">
        <v>1704</v>
      </c>
      <c r="G264" s="44" t="e">
        <f t="shared" ca="1" si="4"/>
        <v>#NAME?</v>
      </c>
      <c r="H264" s="43">
        <v>1727</v>
      </c>
      <c r="I264" s="45" t="e">
        <f t="shared" ca="1" si="5"/>
        <v>#NAME?</v>
      </c>
      <c r="J264" s="43">
        <v>1932</v>
      </c>
      <c r="K264" s="45" t="e">
        <f t="shared" ca="1" si="6"/>
        <v>#NAME?</v>
      </c>
      <c r="L264" s="43">
        <v>2251</v>
      </c>
      <c r="M264" s="45" t="e">
        <f t="shared" ca="1" si="7"/>
        <v>#NAME?</v>
      </c>
      <c r="N264" s="37">
        <v>14.98</v>
      </c>
      <c r="O264" s="46">
        <v>-6.66</v>
      </c>
      <c r="P264" s="46">
        <v>16.670000000000002</v>
      </c>
      <c r="Q264" s="46">
        <v>17.78</v>
      </c>
      <c r="R264" s="46">
        <v>7.41</v>
      </c>
      <c r="S264" s="46">
        <v>12.28</v>
      </c>
      <c r="T264" s="47">
        <v>17.78</v>
      </c>
    </row>
    <row r="265" spans="1:20" ht="30.75" customHeight="1">
      <c r="A265" s="49"/>
      <c r="B265" s="52" t="s">
        <v>28</v>
      </c>
      <c r="C265" s="52" t="s">
        <v>30</v>
      </c>
      <c r="D265" s="52" t="s">
        <v>85</v>
      </c>
      <c r="E265" s="53"/>
      <c r="F265" s="36">
        <v>1634</v>
      </c>
      <c r="G265" s="28" t="e">
        <f t="shared" ca="1" si="4"/>
        <v>#NAME?</v>
      </c>
      <c r="H265" s="36">
        <v>1457</v>
      </c>
      <c r="I265" s="29" t="e">
        <f t="shared" ca="1" si="5"/>
        <v>#NAME?</v>
      </c>
      <c r="J265" s="36">
        <v>1939</v>
      </c>
      <c r="K265" s="29" t="e">
        <f t="shared" ca="1" si="6"/>
        <v>#NAME?</v>
      </c>
      <c r="L265" s="36">
        <v>1258</v>
      </c>
      <c r="M265" s="29" t="e">
        <f t="shared" ca="1" si="7"/>
        <v>#NAME?</v>
      </c>
      <c r="N265" s="37">
        <v>16.920000000000002</v>
      </c>
      <c r="O265" s="38">
        <v>28.07</v>
      </c>
      <c r="P265" s="38">
        <v>13.73</v>
      </c>
      <c r="Q265" s="38">
        <v>-2.21</v>
      </c>
      <c r="R265" s="38">
        <v>0</v>
      </c>
      <c r="S265" s="38">
        <v>0</v>
      </c>
      <c r="T265" s="39">
        <v>3.33</v>
      </c>
    </row>
    <row r="266" spans="1:20" ht="30.75" customHeight="1">
      <c r="A266" s="49"/>
      <c r="B266" s="52" t="s">
        <v>28</v>
      </c>
      <c r="C266" s="52" t="s">
        <v>19</v>
      </c>
      <c r="D266" s="52" t="s">
        <v>130</v>
      </c>
      <c r="E266" s="53"/>
      <c r="F266" s="36">
        <v>2534</v>
      </c>
      <c r="G266" s="28" t="e">
        <f t="shared" ca="1" si="4"/>
        <v>#NAME?</v>
      </c>
      <c r="H266" s="36">
        <v>2962</v>
      </c>
      <c r="I266" s="29" t="e">
        <f t="shared" ca="1" si="5"/>
        <v>#NAME?</v>
      </c>
      <c r="J266" s="36">
        <v>1956</v>
      </c>
      <c r="K266" s="29" t="e">
        <f t="shared" ca="1" si="6"/>
        <v>#NAME?</v>
      </c>
      <c r="L266" s="36">
        <v>2601</v>
      </c>
      <c r="M266" s="29" t="e">
        <f t="shared" ca="1" si="7"/>
        <v>#NAME?</v>
      </c>
      <c r="N266" s="37">
        <v>16.04</v>
      </c>
      <c r="O266" s="38">
        <v>10.53</v>
      </c>
      <c r="P266" s="38">
        <v>-3.91</v>
      </c>
      <c r="Q266" s="38">
        <v>11.11</v>
      </c>
      <c r="R266" s="38">
        <v>18.52</v>
      </c>
      <c r="S266" s="38">
        <v>-1.74</v>
      </c>
      <c r="T266" s="39">
        <v>4.4400000000000004</v>
      </c>
    </row>
    <row r="267" spans="1:20" ht="30.75" customHeight="1">
      <c r="A267" s="49"/>
      <c r="B267" s="50" t="s">
        <v>28</v>
      </c>
      <c r="C267" s="50" t="s">
        <v>30</v>
      </c>
      <c r="D267" s="50" t="s">
        <v>53</v>
      </c>
      <c r="E267" s="51" t="s">
        <v>131</v>
      </c>
      <c r="F267" s="43">
        <v>1363</v>
      </c>
      <c r="G267" s="44" t="e">
        <f t="shared" ca="1" si="4"/>
        <v>#NAME?</v>
      </c>
      <c r="H267" s="43">
        <v>1125</v>
      </c>
      <c r="I267" s="45" t="e">
        <f t="shared" ca="1" si="5"/>
        <v>#NAME?</v>
      </c>
      <c r="J267" s="43">
        <v>1962</v>
      </c>
      <c r="K267" s="45" t="e">
        <f t="shared" ca="1" si="6"/>
        <v>#NAME?</v>
      </c>
      <c r="L267" s="43">
        <v>1408</v>
      </c>
      <c r="M267" s="45" t="e">
        <f t="shared" ca="1" si="7"/>
        <v>#NAME?</v>
      </c>
      <c r="N267" s="37">
        <v>14.43</v>
      </c>
      <c r="O267" s="46">
        <v>12.28</v>
      </c>
      <c r="P267" s="46">
        <v>33.33</v>
      </c>
      <c r="Q267" s="46">
        <v>13.33</v>
      </c>
      <c r="R267" s="46">
        <v>0</v>
      </c>
      <c r="S267" s="46">
        <v>-1.74</v>
      </c>
      <c r="T267" s="47">
        <v>0</v>
      </c>
    </row>
    <row r="268" spans="1:20" ht="30.75" customHeight="1">
      <c r="A268" s="49"/>
      <c r="B268" s="52" t="s">
        <v>28</v>
      </c>
      <c r="C268" s="52" t="s">
        <v>33</v>
      </c>
      <c r="D268" s="52" t="s">
        <v>105</v>
      </c>
      <c r="E268" s="53"/>
      <c r="F268" s="36">
        <v>2033</v>
      </c>
      <c r="G268" s="28" t="e">
        <f t="shared" ca="1" si="4"/>
        <v>#NAME?</v>
      </c>
      <c r="H268" s="36">
        <v>2154</v>
      </c>
      <c r="I268" s="29" t="e">
        <f t="shared" ca="1" si="5"/>
        <v>#NAME?</v>
      </c>
      <c r="J268" s="36">
        <v>2015</v>
      </c>
      <c r="K268" s="29" t="e">
        <f t="shared" ca="1" si="6"/>
        <v>#NAME?</v>
      </c>
      <c r="L268" s="36">
        <v>1568</v>
      </c>
      <c r="M268" s="29" t="e">
        <f t="shared" ca="1" si="7"/>
        <v>#NAME?</v>
      </c>
      <c r="N268" s="37">
        <v>15.31</v>
      </c>
      <c r="O268" s="38">
        <v>31.58</v>
      </c>
      <c r="P268" s="38">
        <v>0</v>
      </c>
      <c r="Q268" s="38">
        <v>4.41</v>
      </c>
      <c r="R268" s="38">
        <v>0</v>
      </c>
      <c r="S268" s="38">
        <v>0</v>
      </c>
      <c r="T268" s="39">
        <v>17.78</v>
      </c>
    </row>
    <row r="269" spans="1:20" ht="30.75" customHeight="1">
      <c r="A269" s="49"/>
      <c r="B269" s="52" t="s">
        <v>28</v>
      </c>
      <c r="C269" s="52" t="s">
        <v>30</v>
      </c>
      <c r="D269" s="52" t="s">
        <v>102</v>
      </c>
      <c r="E269" s="53"/>
      <c r="F269" s="36">
        <v>1591</v>
      </c>
      <c r="G269" s="28" t="e">
        <f t="shared" ca="1" si="4"/>
        <v>#NAME?</v>
      </c>
      <c r="H269" s="36">
        <v>1398</v>
      </c>
      <c r="I269" s="29" t="e">
        <f t="shared" ca="1" si="5"/>
        <v>#NAME?</v>
      </c>
      <c r="J269" s="36">
        <v>2030</v>
      </c>
      <c r="K269" s="29" t="e">
        <f t="shared" ca="1" si="6"/>
        <v>#NAME?</v>
      </c>
      <c r="L269" s="36">
        <v>1546</v>
      </c>
      <c r="M269" s="29" t="e">
        <f t="shared" ca="1" si="7"/>
        <v>#NAME?</v>
      </c>
      <c r="N269" s="37">
        <v>18.420000000000002</v>
      </c>
      <c r="O269" s="38">
        <v>10.53</v>
      </c>
      <c r="P269" s="38">
        <v>17.649999999999999</v>
      </c>
      <c r="Q269" s="38">
        <v>0</v>
      </c>
      <c r="R269" s="38">
        <v>-3.69</v>
      </c>
      <c r="S269" s="38">
        <v>-1.74</v>
      </c>
      <c r="T269" s="39">
        <v>40</v>
      </c>
    </row>
    <row r="270" spans="1:20" ht="30.75" customHeight="1">
      <c r="A270" s="49"/>
      <c r="B270" s="52" t="s">
        <v>28</v>
      </c>
      <c r="C270" s="52" t="s">
        <v>29</v>
      </c>
      <c r="D270" s="52" t="s">
        <v>132</v>
      </c>
      <c r="E270" s="53"/>
      <c r="F270" s="36">
        <v>1519</v>
      </c>
      <c r="G270" s="28" t="e">
        <f t="shared" ca="1" si="4"/>
        <v>#NAME?</v>
      </c>
      <c r="H270" s="36">
        <v>1262</v>
      </c>
      <c r="I270" s="29" t="e">
        <f t="shared" ca="1" si="5"/>
        <v>#NAME?</v>
      </c>
      <c r="J270" s="36">
        <v>2158</v>
      </c>
      <c r="K270" s="29" t="e">
        <f t="shared" ca="1" si="6"/>
        <v>#NAME?</v>
      </c>
      <c r="L270" s="36">
        <v>1568</v>
      </c>
      <c r="M270" s="29" t="e">
        <f t="shared" ca="1" si="7"/>
        <v>#NAME?</v>
      </c>
      <c r="N270" s="37">
        <v>14.46</v>
      </c>
      <c r="O270" s="38">
        <v>12.28</v>
      </c>
      <c r="P270" s="38">
        <v>27.45</v>
      </c>
      <c r="Q270" s="38">
        <v>8.89</v>
      </c>
      <c r="R270" s="38">
        <v>0</v>
      </c>
      <c r="S270" s="38">
        <v>-1.74</v>
      </c>
      <c r="T270" s="39">
        <v>10</v>
      </c>
    </row>
    <row r="271" spans="1:20" ht="30.75" customHeight="1">
      <c r="A271" s="49"/>
      <c r="B271" s="52" t="s">
        <v>28</v>
      </c>
      <c r="C271" s="52" t="s">
        <v>30</v>
      </c>
      <c r="D271" s="52" t="s">
        <v>133</v>
      </c>
      <c r="E271" s="53"/>
      <c r="F271" s="36">
        <v>1495</v>
      </c>
      <c r="G271" s="28" t="e">
        <f t="shared" ca="1" si="4"/>
        <v>#NAME?</v>
      </c>
      <c r="H271" s="36">
        <v>1104</v>
      </c>
      <c r="I271" s="29" t="e">
        <f t="shared" ca="1" si="5"/>
        <v>#NAME?</v>
      </c>
      <c r="J271" s="36">
        <v>2234</v>
      </c>
      <c r="K271" s="29" t="e">
        <f t="shared" ca="1" si="6"/>
        <v>#NAME?</v>
      </c>
      <c r="L271" s="36">
        <v>1625</v>
      </c>
      <c r="M271" s="29" t="e">
        <f t="shared" ca="1" si="7"/>
        <v>#NAME?</v>
      </c>
      <c r="N271" s="37">
        <v>18.72</v>
      </c>
      <c r="O271" s="38">
        <v>0</v>
      </c>
      <c r="P271" s="38">
        <v>33.33</v>
      </c>
      <c r="Q271" s="38">
        <v>0</v>
      </c>
      <c r="R271" s="38">
        <v>0</v>
      </c>
      <c r="S271" s="38">
        <v>-1.74</v>
      </c>
      <c r="T271" s="39">
        <v>16.670000000000002</v>
      </c>
    </row>
    <row r="272" spans="1:20" ht="30.75" customHeight="1">
      <c r="A272" s="49"/>
      <c r="B272" s="57"/>
      <c r="C272" s="57"/>
      <c r="D272" s="57"/>
      <c r="E272" s="58" t="s">
        <v>134</v>
      </c>
      <c r="F272" s="59">
        <v>2348</v>
      </c>
      <c r="G272" s="60" t="e">
        <f t="shared" ca="1" si="4"/>
        <v>#NAME?</v>
      </c>
      <c r="H272" s="59">
        <v>2550</v>
      </c>
      <c r="I272" s="61" t="e">
        <f t="shared" ca="1" si="5"/>
        <v>#NAME?</v>
      </c>
      <c r="J272" s="59">
        <v>2298</v>
      </c>
      <c r="K272" s="61" t="e">
        <f t="shared" ca="1" si="6"/>
        <v>#NAME?</v>
      </c>
      <c r="L272" s="59">
        <v>2605</v>
      </c>
      <c r="M272" s="61" t="e">
        <f t="shared" ca="1" si="7"/>
        <v>#NAME?</v>
      </c>
      <c r="N272" s="37">
        <v>14.4</v>
      </c>
      <c r="O272" s="62">
        <v>7.02</v>
      </c>
      <c r="P272" s="62">
        <v>5.88</v>
      </c>
      <c r="Q272" s="62">
        <v>14.58</v>
      </c>
      <c r="R272" s="62">
        <v>7.41</v>
      </c>
      <c r="S272" s="62">
        <v>7.02</v>
      </c>
      <c r="T272" s="63">
        <v>21.11</v>
      </c>
    </row>
    <row r="273" spans="1:20" ht="30.75" customHeight="1">
      <c r="A273" s="49"/>
      <c r="B273" s="52" t="s">
        <v>36</v>
      </c>
      <c r="C273" s="52" t="s">
        <v>30</v>
      </c>
      <c r="D273" s="52" t="s">
        <v>95</v>
      </c>
      <c r="E273" s="53"/>
      <c r="F273" s="36">
        <v>1759</v>
      </c>
      <c r="G273" s="28" t="e">
        <f t="shared" ca="1" si="4"/>
        <v>#NAME?</v>
      </c>
      <c r="H273" s="36">
        <v>1547</v>
      </c>
      <c r="I273" s="29" t="e">
        <f t="shared" ca="1" si="5"/>
        <v>#NAME?</v>
      </c>
      <c r="J273" s="36">
        <v>2320</v>
      </c>
      <c r="K273" s="29" t="e">
        <f t="shared" ca="1" si="6"/>
        <v>#NAME?</v>
      </c>
      <c r="L273" s="36">
        <v>1523</v>
      </c>
      <c r="M273" s="29" t="e">
        <f t="shared" ca="1" si="7"/>
        <v>#NAME?</v>
      </c>
      <c r="N273" s="37">
        <v>15.12</v>
      </c>
      <c r="O273" s="38">
        <v>22.81</v>
      </c>
      <c r="P273" s="38">
        <v>17.649999999999999</v>
      </c>
      <c r="Q273" s="38">
        <v>4.4400000000000004</v>
      </c>
      <c r="R273" s="38">
        <v>-7.4</v>
      </c>
      <c r="S273" s="38">
        <v>0</v>
      </c>
      <c r="T273" s="39">
        <v>11.11</v>
      </c>
    </row>
    <row r="274" spans="1:20" ht="30.75" customHeight="1">
      <c r="A274" s="49"/>
      <c r="B274" s="52" t="s">
        <v>28</v>
      </c>
      <c r="C274" s="52" t="s">
        <v>29</v>
      </c>
      <c r="D274" s="52" t="s">
        <v>135</v>
      </c>
      <c r="E274" s="53"/>
      <c r="F274" s="36">
        <v>1790</v>
      </c>
      <c r="G274" s="28" t="e">
        <f t="shared" ca="1" si="4"/>
        <v>#NAME?</v>
      </c>
      <c r="H274" s="36">
        <v>1595</v>
      </c>
      <c r="I274" s="29" t="e">
        <f t="shared" ca="1" si="5"/>
        <v>#NAME?</v>
      </c>
      <c r="J274" s="36">
        <v>2332</v>
      </c>
      <c r="K274" s="29" t="e">
        <f t="shared" ca="1" si="6"/>
        <v>#NAME?</v>
      </c>
      <c r="L274" s="36">
        <v>1991</v>
      </c>
      <c r="M274" s="29" t="e">
        <f t="shared" ca="1" si="7"/>
        <v>#NAME?</v>
      </c>
      <c r="N274" s="37">
        <v>16.850000000000001</v>
      </c>
      <c r="O274" s="38">
        <v>5.26</v>
      </c>
      <c r="P274" s="38">
        <v>21.57</v>
      </c>
      <c r="Q274" s="38">
        <v>11.11</v>
      </c>
      <c r="R274" s="38">
        <v>0</v>
      </c>
      <c r="S274" s="38">
        <v>0</v>
      </c>
      <c r="T274" s="39">
        <v>-1.1000000000000001</v>
      </c>
    </row>
    <row r="275" spans="1:20" ht="30.75" customHeight="1">
      <c r="A275" s="49"/>
      <c r="B275" s="50" t="s">
        <v>28</v>
      </c>
      <c r="C275" s="50" t="s">
        <v>29</v>
      </c>
      <c r="D275" s="64" t="s">
        <v>76</v>
      </c>
      <c r="E275" s="51" t="s">
        <v>136</v>
      </c>
      <c r="F275" s="43">
        <v>2014</v>
      </c>
      <c r="G275" s="44" t="e">
        <f t="shared" ca="1" si="4"/>
        <v>#NAME?</v>
      </c>
      <c r="H275" s="43">
        <v>1965</v>
      </c>
      <c r="I275" s="45" t="e">
        <f t="shared" ca="1" si="5"/>
        <v>#NAME?</v>
      </c>
      <c r="J275" s="43">
        <v>2365</v>
      </c>
      <c r="K275" s="45" t="e">
        <f t="shared" ca="1" si="6"/>
        <v>#NAME?</v>
      </c>
      <c r="L275" s="43">
        <v>2468</v>
      </c>
      <c r="M275" s="45" t="e">
        <f t="shared" ca="1" si="7"/>
        <v>#NAME?</v>
      </c>
      <c r="N275" s="37">
        <v>14.27</v>
      </c>
      <c r="O275" s="46">
        <v>1.75</v>
      </c>
      <c r="P275" s="46">
        <v>18.52</v>
      </c>
      <c r="Q275" s="46">
        <v>16.670000000000002</v>
      </c>
      <c r="R275" s="46">
        <v>6.67</v>
      </c>
      <c r="S275" s="46">
        <v>15.79</v>
      </c>
      <c r="T275" s="47">
        <v>-24.43</v>
      </c>
    </row>
    <row r="276" spans="1:20" ht="30.75" customHeight="1">
      <c r="A276" s="49"/>
      <c r="B276" s="52" t="s">
        <v>28</v>
      </c>
      <c r="C276" s="52" t="s">
        <v>29</v>
      </c>
      <c r="D276" s="52" t="s">
        <v>137</v>
      </c>
      <c r="E276" s="53"/>
      <c r="F276" s="36">
        <v>2516</v>
      </c>
      <c r="G276" s="28" t="e">
        <f t="shared" ca="1" si="4"/>
        <v>#NAME?</v>
      </c>
      <c r="H276" s="36">
        <v>3039</v>
      </c>
      <c r="I276" s="29" t="e">
        <f t="shared" ca="1" si="5"/>
        <v>#NAME?</v>
      </c>
      <c r="J276" s="36">
        <v>2398</v>
      </c>
      <c r="K276" s="29" t="e">
        <f t="shared" ca="1" si="6"/>
        <v>#NAME?</v>
      </c>
      <c r="L276" s="36">
        <v>2519</v>
      </c>
      <c r="M276" s="29" t="e">
        <f t="shared" ca="1" si="7"/>
        <v>#NAME?</v>
      </c>
      <c r="N276" s="37">
        <v>18.899999999999999</v>
      </c>
      <c r="O276" s="38">
        <v>12.28</v>
      </c>
      <c r="P276" s="38">
        <v>-7.83</v>
      </c>
      <c r="Q276" s="38">
        <v>11.11</v>
      </c>
      <c r="R276" s="38">
        <v>-3.69</v>
      </c>
      <c r="S276" s="38">
        <v>7.02</v>
      </c>
      <c r="T276" s="39">
        <v>-3.32</v>
      </c>
    </row>
    <row r="277" spans="1:20" ht="30.75" customHeight="1">
      <c r="A277" s="49"/>
      <c r="B277" s="50" t="s">
        <v>36</v>
      </c>
      <c r="C277" s="50" t="s">
        <v>19</v>
      </c>
      <c r="D277" s="50" t="s">
        <v>98</v>
      </c>
      <c r="E277" s="51" t="s">
        <v>138</v>
      </c>
      <c r="F277" s="43">
        <v>2370</v>
      </c>
      <c r="G277" s="44" t="e">
        <f t="shared" ca="1" si="4"/>
        <v>#NAME?</v>
      </c>
      <c r="H277" s="43">
        <v>2982</v>
      </c>
      <c r="I277" s="45" t="e">
        <f t="shared" ca="1" si="5"/>
        <v>#NAME?</v>
      </c>
      <c r="J277" s="43">
        <v>2419</v>
      </c>
      <c r="K277" s="45" t="e">
        <f t="shared" ca="1" si="6"/>
        <v>#NAME?</v>
      </c>
      <c r="L277" s="43">
        <v>2548</v>
      </c>
      <c r="M277" s="45" t="e">
        <f t="shared" ca="1" si="7"/>
        <v>#NAME?</v>
      </c>
      <c r="N277" s="37">
        <v>15.33</v>
      </c>
      <c r="O277" s="46">
        <v>15.79</v>
      </c>
      <c r="P277" s="46">
        <v>0</v>
      </c>
      <c r="Q277" s="46">
        <v>22.22</v>
      </c>
      <c r="R277" s="46">
        <v>-3.69</v>
      </c>
      <c r="S277" s="46">
        <v>-1.74</v>
      </c>
      <c r="T277" s="47">
        <v>10</v>
      </c>
    </row>
    <row r="278" spans="1:20" ht="30.75" customHeight="1">
      <c r="A278" s="49"/>
      <c r="B278" s="52" t="s">
        <v>28</v>
      </c>
      <c r="C278" s="52" t="s">
        <v>29</v>
      </c>
      <c r="D278" s="52" t="s">
        <v>107</v>
      </c>
      <c r="E278" s="53"/>
      <c r="F278" s="36">
        <v>1684</v>
      </c>
      <c r="G278" s="28" t="e">
        <f t="shared" ca="1" si="4"/>
        <v>#NAME?</v>
      </c>
      <c r="H278" s="36">
        <v>1664</v>
      </c>
      <c r="I278" s="29" t="e">
        <f t="shared" ca="1" si="5"/>
        <v>#NAME?</v>
      </c>
      <c r="J278" s="36">
        <v>2450</v>
      </c>
      <c r="K278" s="29" t="e">
        <f t="shared" ca="1" si="6"/>
        <v>#NAME?</v>
      </c>
      <c r="L278" s="36">
        <v>1911</v>
      </c>
      <c r="M278" s="29" t="e">
        <f t="shared" ca="1" si="7"/>
        <v>#NAME?</v>
      </c>
      <c r="N278" s="37">
        <v>17.46</v>
      </c>
      <c r="O278" s="38">
        <v>8.77</v>
      </c>
      <c r="P278" s="38">
        <v>18.52</v>
      </c>
      <c r="Q278" s="38">
        <v>16.670000000000002</v>
      </c>
      <c r="R278" s="38">
        <v>-18.510000000000002</v>
      </c>
      <c r="S278" s="38">
        <v>-5.25</v>
      </c>
      <c r="T278" s="39">
        <v>6.67</v>
      </c>
    </row>
    <row r="279" spans="1:20" ht="30.75" customHeight="1">
      <c r="A279" s="49"/>
      <c r="B279" s="52" t="s">
        <v>28</v>
      </c>
      <c r="C279" s="52" t="s">
        <v>30</v>
      </c>
      <c r="D279" s="52" t="s">
        <v>139</v>
      </c>
      <c r="E279" s="53"/>
      <c r="F279" s="36">
        <v>2149</v>
      </c>
      <c r="G279" s="28" t="e">
        <f t="shared" ca="1" si="4"/>
        <v>#NAME?</v>
      </c>
      <c r="H279" s="36">
        <v>1921</v>
      </c>
      <c r="I279" s="29" t="e">
        <f t="shared" ca="1" si="5"/>
        <v>#NAME?</v>
      </c>
      <c r="J279" s="36">
        <v>2503</v>
      </c>
      <c r="K279" s="29" t="e">
        <f t="shared" ca="1" si="6"/>
        <v>#NAME?</v>
      </c>
      <c r="L279" s="36">
        <v>2342</v>
      </c>
      <c r="M279" s="29" t="e">
        <f t="shared" ca="1" si="7"/>
        <v>#NAME?</v>
      </c>
      <c r="N279" s="37">
        <v>19.04</v>
      </c>
      <c r="O279" s="38">
        <v>-5.25</v>
      </c>
      <c r="P279" s="38">
        <v>11.11</v>
      </c>
      <c r="Q279" s="38">
        <v>0</v>
      </c>
      <c r="R279" s="38">
        <v>-3.69</v>
      </c>
      <c r="S279" s="38">
        <v>15.79</v>
      </c>
      <c r="T279" s="39">
        <v>32.22</v>
      </c>
    </row>
    <row r="280" spans="1:20" ht="30.75" customHeight="1">
      <c r="A280" s="49"/>
      <c r="B280" s="57" t="s">
        <v>36</v>
      </c>
      <c r="C280" s="57" t="s">
        <v>29</v>
      </c>
      <c r="D280" s="57" t="s">
        <v>27</v>
      </c>
      <c r="E280" s="58" t="s">
        <v>140</v>
      </c>
      <c r="F280" s="59">
        <v>1701</v>
      </c>
      <c r="G280" s="60" t="e">
        <f t="shared" ca="1" si="4"/>
        <v>#NAME?</v>
      </c>
      <c r="H280" s="59">
        <v>1278</v>
      </c>
      <c r="I280" s="61" t="e">
        <f t="shared" ca="1" si="5"/>
        <v>#NAME?</v>
      </c>
      <c r="J280" s="59">
        <v>2558</v>
      </c>
      <c r="K280" s="61" t="e">
        <f t="shared" ca="1" si="6"/>
        <v>#NAME?</v>
      </c>
      <c r="L280" s="59">
        <v>1502</v>
      </c>
      <c r="M280" s="61" t="e">
        <f t="shared" ca="1" si="7"/>
        <v>#NAME?</v>
      </c>
      <c r="N280" s="37">
        <v>15.77</v>
      </c>
      <c r="O280" s="62">
        <v>17.54</v>
      </c>
      <c r="P280" s="62">
        <v>31.37</v>
      </c>
      <c r="Q280" s="62">
        <v>0</v>
      </c>
      <c r="R280" s="62">
        <v>-3.69</v>
      </c>
      <c r="S280" s="62">
        <v>0</v>
      </c>
      <c r="T280" s="63">
        <v>0</v>
      </c>
    </row>
    <row r="281" spans="1:20" ht="30.75" customHeight="1">
      <c r="A281" s="49"/>
      <c r="B281" s="52" t="s">
        <v>36</v>
      </c>
      <c r="C281" s="52" t="s">
        <v>31</v>
      </c>
      <c r="D281" s="52" t="s">
        <v>126</v>
      </c>
      <c r="E281" s="53"/>
      <c r="F281" s="36">
        <v>2358</v>
      </c>
      <c r="G281" s="28" t="e">
        <f t="shared" ca="1" si="4"/>
        <v>#NAME?</v>
      </c>
      <c r="H281" s="36">
        <v>2085</v>
      </c>
      <c r="I281" s="29" t="e">
        <f t="shared" ca="1" si="5"/>
        <v>#NAME?</v>
      </c>
      <c r="J281" s="36">
        <v>2560</v>
      </c>
      <c r="K281" s="29" t="e">
        <f t="shared" ca="1" si="6"/>
        <v>#NAME?</v>
      </c>
      <c r="L281" s="36">
        <v>1774</v>
      </c>
      <c r="M281" s="29" t="e">
        <f t="shared" ca="1" si="7"/>
        <v>#NAME?</v>
      </c>
      <c r="N281" s="37">
        <v>17.63</v>
      </c>
      <c r="O281" s="38">
        <v>24.56</v>
      </c>
      <c r="P281" s="38">
        <v>7.84</v>
      </c>
      <c r="Q281" s="38">
        <v>-4.43</v>
      </c>
      <c r="R281" s="38">
        <v>0</v>
      </c>
      <c r="S281" s="38">
        <v>0</v>
      </c>
      <c r="T281" s="39">
        <v>2.2200000000000002</v>
      </c>
    </row>
    <row r="282" spans="1:20" ht="30.75" customHeight="1">
      <c r="A282" s="49"/>
      <c r="B282" s="50" t="s">
        <v>28</v>
      </c>
      <c r="C282" s="50" t="s">
        <v>31</v>
      </c>
      <c r="D282" s="50" t="s">
        <v>113</v>
      </c>
      <c r="E282" s="51" t="s">
        <v>141</v>
      </c>
      <c r="F282" s="43">
        <v>3022</v>
      </c>
      <c r="G282" s="44" t="e">
        <f t="shared" ca="1" si="4"/>
        <v>#NAME?</v>
      </c>
      <c r="H282" s="43">
        <v>3240</v>
      </c>
      <c r="I282" s="45" t="e">
        <f t="shared" ca="1" si="5"/>
        <v>#NAME?</v>
      </c>
      <c r="J282" s="43">
        <v>2603</v>
      </c>
      <c r="K282" s="45" t="e">
        <f t="shared" ca="1" si="6"/>
        <v>#NAME?</v>
      </c>
      <c r="L282" s="43">
        <v>2701</v>
      </c>
      <c r="M282" s="45" t="e">
        <f t="shared" ca="1" si="7"/>
        <v>#NAME?</v>
      </c>
      <c r="N282" s="37">
        <v>16</v>
      </c>
      <c r="O282" s="46">
        <v>17.54</v>
      </c>
      <c r="P282" s="46">
        <v>0</v>
      </c>
      <c r="Q282" s="46">
        <v>6.67</v>
      </c>
      <c r="R282" s="46">
        <v>11.11</v>
      </c>
      <c r="S282" s="46">
        <v>0</v>
      </c>
      <c r="T282" s="47">
        <v>0</v>
      </c>
    </row>
    <row r="283" spans="1:20" ht="30.75" customHeight="1">
      <c r="A283" s="49"/>
      <c r="B283" s="50" t="s">
        <v>28</v>
      </c>
      <c r="C283" s="50" t="s">
        <v>29</v>
      </c>
      <c r="D283" s="50" t="s">
        <v>132</v>
      </c>
      <c r="E283" s="51" t="s">
        <v>142</v>
      </c>
      <c r="F283" s="43">
        <v>1815</v>
      </c>
      <c r="G283" s="44" t="e">
        <f t="shared" ca="1" si="4"/>
        <v>#NAME?</v>
      </c>
      <c r="H283" s="43">
        <v>1444</v>
      </c>
      <c r="I283" s="45" t="e">
        <f t="shared" ca="1" si="5"/>
        <v>#NAME?</v>
      </c>
      <c r="J283" s="43">
        <v>2649</v>
      </c>
      <c r="K283" s="45" t="e">
        <f t="shared" ca="1" si="6"/>
        <v>#NAME?</v>
      </c>
      <c r="L283" s="43">
        <v>2160</v>
      </c>
      <c r="M283" s="45" t="e">
        <f t="shared" ca="1" si="7"/>
        <v>#NAME?</v>
      </c>
      <c r="N283" s="37">
        <v>15.11</v>
      </c>
      <c r="O283" s="46">
        <v>0</v>
      </c>
      <c r="P283" s="46">
        <v>33.33</v>
      </c>
      <c r="Q283" s="46">
        <v>11.11</v>
      </c>
      <c r="R283" s="46">
        <v>3.7</v>
      </c>
      <c r="S283" s="46">
        <v>0</v>
      </c>
      <c r="T283" s="47">
        <v>0</v>
      </c>
    </row>
    <row r="284" spans="1:20" ht="30.75" customHeight="1">
      <c r="A284" s="49"/>
      <c r="B284" s="57" t="s">
        <v>28</v>
      </c>
      <c r="C284" s="57" t="s">
        <v>31</v>
      </c>
      <c r="D284" s="57" t="s">
        <v>39</v>
      </c>
      <c r="E284" s="58" t="s">
        <v>143</v>
      </c>
      <c r="F284" s="59">
        <v>2209</v>
      </c>
      <c r="G284" s="60" t="e">
        <f t="shared" ca="1" si="4"/>
        <v>#NAME?</v>
      </c>
      <c r="H284" s="59">
        <v>1951</v>
      </c>
      <c r="I284" s="61" t="e">
        <f t="shared" ca="1" si="5"/>
        <v>#NAME?</v>
      </c>
      <c r="J284" s="59">
        <v>2817</v>
      </c>
      <c r="K284" s="61" t="e">
        <f t="shared" ca="1" si="6"/>
        <v>#NAME?</v>
      </c>
      <c r="L284" s="59">
        <v>2016</v>
      </c>
      <c r="M284" s="61" t="e">
        <f t="shared" ca="1" si="7"/>
        <v>#NAME?</v>
      </c>
      <c r="N284" s="37">
        <v>15.66</v>
      </c>
      <c r="O284" s="62">
        <v>17.54</v>
      </c>
      <c r="P284" s="62">
        <v>17.649999999999999</v>
      </c>
      <c r="Q284" s="62">
        <v>6.67</v>
      </c>
      <c r="R284" s="62">
        <v>-3.69</v>
      </c>
      <c r="S284" s="62">
        <v>0</v>
      </c>
      <c r="T284" s="63">
        <v>0</v>
      </c>
    </row>
    <row r="285" spans="1:20" ht="30.75" customHeight="1">
      <c r="A285" s="49"/>
      <c r="B285" s="52" t="s">
        <v>36</v>
      </c>
      <c r="C285" s="52" t="s">
        <v>30</v>
      </c>
      <c r="D285" s="52" t="s">
        <v>101</v>
      </c>
      <c r="E285" s="53"/>
      <c r="F285" s="36">
        <v>2120</v>
      </c>
      <c r="G285" s="28" t="e">
        <f t="shared" ca="1" si="4"/>
        <v>#NAME?</v>
      </c>
      <c r="H285" s="36">
        <v>1640</v>
      </c>
      <c r="I285" s="29" t="e">
        <f t="shared" ca="1" si="5"/>
        <v>#NAME?</v>
      </c>
      <c r="J285" s="36">
        <v>2825</v>
      </c>
      <c r="K285" s="29" t="e">
        <f t="shared" ca="1" si="6"/>
        <v>#NAME?</v>
      </c>
      <c r="L285" s="36">
        <v>2219</v>
      </c>
      <c r="M285" s="29" t="e">
        <f t="shared" ca="1" si="7"/>
        <v>#NAME?</v>
      </c>
      <c r="N285" s="37">
        <v>17.46</v>
      </c>
      <c r="O285" s="38">
        <v>0</v>
      </c>
      <c r="P285" s="38">
        <v>23.53</v>
      </c>
      <c r="Q285" s="38">
        <v>0</v>
      </c>
      <c r="R285" s="38">
        <v>0</v>
      </c>
      <c r="S285" s="38">
        <v>0</v>
      </c>
      <c r="T285" s="39">
        <v>34.44</v>
      </c>
    </row>
    <row r="286" spans="1:20" ht="30.75" customHeight="1">
      <c r="A286" s="49"/>
      <c r="B286" s="50"/>
      <c r="C286" s="50"/>
      <c r="D286" s="50"/>
      <c r="E286" s="51" t="s">
        <v>144</v>
      </c>
      <c r="F286" s="43">
        <v>2640</v>
      </c>
      <c r="G286" s="44" t="e">
        <f t="shared" ca="1" si="4"/>
        <v>#NAME?</v>
      </c>
      <c r="H286" s="43">
        <v>2870</v>
      </c>
      <c r="I286" s="45" t="e">
        <f t="shared" ca="1" si="5"/>
        <v>#NAME?</v>
      </c>
      <c r="J286" s="43">
        <v>3030</v>
      </c>
      <c r="K286" s="45" t="e">
        <f t="shared" ca="1" si="6"/>
        <v>#NAME?</v>
      </c>
      <c r="L286" s="43">
        <v>2869</v>
      </c>
      <c r="M286" s="45" t="e">
        <f t="shared" ca="1" si="7"/>
        <v>#NAME?</v>
      </c>
      <c r="N286" s="37">
        <v>19.02</v>
      </c>
      <c r="O286" s="46">
        <v>8.77</v>
      </c>
      <c r="P286" s="46">
        <v>5.56</v>
      </c>
      <c r="Q286" s="46">
        <v>14.58</v>
      </c>
      <c r="R286" s="46">
        <v>-11.1</v>
      </c>
      <c r="S286" s="46">
        <v>-3.5</v>
      </c>
      <c r="T286" s="47">
        <v>0</v>
      </c>
    </row>
    <row r="287" spans="1:20" ht="30.75" customHeight="1">
      <c r="A287" s="49"/>
      <c r="B287" s="57" t="s">
        <v>36</v>
      </c>
      <c r="C287" s="57" t="s">
        <v>19</v>
      </c>
      <c r="D287" s="57" t="s">
        <v>53</v>
      </c>
      <c r="E287" s="58" t="s">
        <v>145</v>
      </c>
      <c r="F287" s="59">
        <v>2803</v>
      </c>
      <c r="G287" s="60" t="e">
        <f t="shared" ca="1" si="4"/>
        <v>#NAME?</v>
      </c>
      <c r="H287" s="59">
        <v>3264</v>
      </c>
      <c r="I287" s="61" t="e">
        <f t="shared" ca="1" si="5"/>
        <v>#NAME?</v>
      </c>
      <c r="J287" s="59">
        <v>3085</v>
      </c>
      <c r="K287" s="61" t="e">
        <f t="shared" ca="1" si="6"/>
        <v>#NAME?</v>
      </c>
      <c r="L287" s="59">
        <v>2565</v>
      </c>
      <c r="M287" s="61" t="e">
        <f t="shared" ca="1" si="7"/>
        <v>#NAME?</v>
      </c>
      <c r="N287" s="37">
        <v>19.72</v>
      </c>
      <c r="O287" s="62">
        <v>19.3</v>
      </c>
      <c r="P287" s="62">
        <v>-3.91</v>
      </c>
      <c r="Q287" s="62">
        <v>11.11</v>
      </c>
      <c r="R287" s="62">
        <v>-18.510000000000002</v>
      </c>
      <c r="S287" s="62">
        <v>-3.5</v>
      </c>
      <c r="T287" s="63">
        <v>0</v>
      </c>
    </row>
    <row r="288" spans="1:20" ht="30.75" customHeight="1">
      <c r="A288" s="49"/>
      <c r="B288" s="57" t="s">
        <v>28</v>
      </c>
      <c r="C288" s="57" t="s">
        <v>19</v>
      </c>
      <c r="D288" s="57" t="s">
        <v>113</v>
      </c>
      <c r="E288" s="58" t="s">
        <v>146</v>
      </c>
      <c r="F288" s="59">
        <v>2677</v>
      </c>
      <c r="G288" s="60" t="e">
        <f t="shared" ca="1" si="4"/>
        <v>#NAME?</v>
      </c>
      <c r="H288" s="59">
        <v>2296</v>
      </c>
      <c r="I288" s="61" t="e">
        <f t="shared" ca="1" si="5"/>
        <v>#NAME?</v>
      </c>
      <c r="J288" s="59">
        <v>3305</v>
      </c>
      <c r="K288" s="61" t="e">
        <f t="shared" ca="1" si="6"/>
        <v>#NAME?</v>
      </c>
      <c r="L288" s="59">
        <v>3297</v>
      </c>
      <c r="M288" s="61" t="e">
        <f t="shared" ca="1" si="7"/>
        <v>#NAME?</v>
      </c>
      <c r="N288" s="37">
        <v>14.3</v>
      </c>
      <c r="O288" s="62">
        <v>-3.5</v>
      </c>
      <c r="P288" s="62">
        <v>23.53</v>
      </c>
      <c r="Q288" s="62">
        <v>13.33</v>
      </c>
      <c r="R288" s="62">
        <v>7.41</v>
      </c>
      <c r="S288" s="62">
        <v>0</v>
      </c>
      <c r="T288" s="63">
        <v>0</v>
      </c>
    </row>
    <row r="289" spans="1:20" ht="30.75" customHeight="1">
      <c r="A289" s="49"/>
      <c r="B289" s="52" t="s">
        <v>36</v>
      </c>
      <c r="C289" s="52" t="s">
        <v>29</v>
      </c>
      <c r="D289" s="52" t="s">
        <v>139</v>
      </c>
      <c r="E289" s="53"/>
      <c r="F289" s="36">
        <v>3695</v>
      </c>
      <c r="G289" s="28" t="e">
        <f t="shared" ca="1" si="4"/>
        <v>#NAME?</v>
      </c>
      <c r="H289" s="36">
        <v>3330</v>
      </c>
      <c r="I289" s="29" t="e">
        <f t="shared" ca="1" si="5"/>
        <v>#NAME?</v>
      </c>
      <c r="J289" s="36">
        <v>3841</v>
      </c>
      <c r="K289" s="29" t="e">
        <f t="shared" ca="1" si="6"/>
        <v>#NAME?</v>
      </c>
      <c r="L289" s="36">
        <v>3838</v>
      </c>
      <c r="M289" s="29" t="e">
        <f t="shared" ca="1" si="7"/>
        <v>#NAME?</v>
      </c>
      <c r="N289" s="37">
        <v>17.829999999999998</v>
      </c>
      <c r="O289" s="38">
        <v>0</v>
      </c>
      <c r="P289" s="38">
        <v>7.84</v>
      </c>
      <c r="Q289" s="38">
        <v>0</v>
      </c>
      <c r="R289" s="38">
        <v>3.7</v>
      </c>
      <c r="S289" s="38">
        <v>1.75</v>
      </c>
      <c r="T289" s="39">
        <v>22.22</v>
      </c>
    </row>
    <row r="290" spans="1:20" ht="30.75" customHeight="1">
      <c r="A290" s="49"/>
      <c r="B290" s="50" t="s">
        <v>28</v>
      </c>
      <c r="C290" s="50" t="s">
        <v>29</v>
      </c>
      <c r="D290" s="50" t="s">
        <v>147</v>
      </c>
      <c r="E290" s="51" t="s">
        <v>148</v>
      </c>
      <c r="F290" s="43">
        <v>3710</v>
      </c>
      <c r="G290" s="44" t="e">
        <f t="shared" ca="1" si="4"/>
        <v>#NAME?</v>
      </c>
      <c r="H290" s="43">
        <v>3768</v>
      </c>
      <c r="I290" s="45" t="e">
        <f t="shared" ca="1" si="5"/>
        <v>#NAME?</v>
      </c>
      <c r="J290" s="43">
        <v>3912</v>
      </c>
      <c r="K290" s="45" t="e">
        <f t="shared" ca="1" si="6"/>
        <v>#NAME?</v>
      </c>
      <c r="L290" s="43">
        <v>2930</v>
      </c>
      <c r="M290" s="45" t="e">
        <f t="shared" ca="1" si="7"/>
        <v>#NAME?</v>
      </c>
      <c r="N290" s="37">
        <v>16.5</v>
      </c>
      <c r="O290" s="46">
        <v>19.3</v>
      </c>
      <c r="P290" s="46">
        <v>-3.91</v>
      </c>
      <c r="Q290" s="46">
        <v>-2.21</v>
      </c>
      <c r="R290" s="46">
        <v>-11.1</v>
      </c>
      <c r="S290" s="46">
        <v>14.04</v>
      </c>
      <c r="T290" s="47">
        <v>15.56</v>
      </c>
    </row>
    <row r="291" spans="1:20" ht="30.75" customHeight="1">
      <c r="A291" s="49"/>
      <c r="B291" s="50" t="s">
        <v>28</v>
      </c>
      <c r="C291" s="50" t="s">
        <v>30</v>
      </c>
      <c r="D291" s="50" t="s">
        <v>73</v>
      </c>
      <c r="E291" s="51" t="s">
        <v>149</v>
      </c>
      <c r="F291" s="43">
        <v>2006</v>
      </c>
      <c r="G291" s="44" t="e">
        <f t="shared" ca="1" si="4"/>
        <v>#NAME?</v>
      </c>
      <c r="H291" s="43">
        <v>1191</v>
      </c>
      <c r="I291" s="45" t="e">
        <f t="shared" ca="1" si="5"/>
        <v>#NAME?</v>
      </c>
      <c r="J291" s="43">
        <v>4050</v>
      </c>
      <c r="K291" s="45" t="e">
        <f t="shared" ca="1" si="6"/>
        <v>#NAME?</v>
      </c>
      <c r="L291" s="43">
        <v>2132</v>
      </c>
      <c r="M291" s="45" t="e">
        <f t="shared" ca="1" si="7"/>
        <v>#NAME?</v>
      </c>
      <c r="N291" s="37">
        <v>12.82</v>
      </c>
      <c r="O291" s="46">
        <v>0</v>
      </c>
      <c r="P291" s="46">
        <v>52.94</v>
      </c>
      <c r="Q291" s="46">
        <v>0</v>
      </c>
      <c r="R291" s="46">
        <v>0</v>
      </c>
      <c r="S291" s="46">
        <v>0</v>
      </c>
      <c r="T291" s="47">
        <v>0</v>
      </c>
    </row>
    <row r="292" spans="1:20" ht="30.75" customHeight="1">
      <c r="A292" s="49"/>
      <c r="B292" s="57" t="s">
        <v>28</v>
      </c>
      <c r="C292" s="57" t="s">
        <v>29</v>
      </c>
      <c r="D292" s="57" t="s">
        <v>108</v>
      </c>
      <c r="E292" s="58" t="s">
        <v>150</v>
      </c>
      <c r="F292" s="59">
        <v>3710</v>
      </c>
      <c r="G292" s="60" t="e">
        <f t="shared" ca="1" si="4"/>
        <v>#NAME?</v>
      </c>
      <c r="H292" s="59">
        <v>4298</v>
      </c>
      <c r="I292" s="61" t="e">
        <f t="shared" ca="1" si="5"/>
        <v>#NAME?</v>
      </c>
      <c r="J292" s="59">
        <v>4391</v>
      </c>
      <c r="K292" s="61" t="e">
        <f t="shared" ca="1" si="6"/>
        <v>#NAME?</v>
      </c>
      <c r="L292" s="59">
        <v>3982</v>
      </c>
      <c r="M292" s="61" t="e">
        <f t="shared" ca="1" si="7"/>
        <v>#NAME?</v>
      </c>
      <c r="N292" s="37">
        <v>15.08</v>
      </c>
      <c r="O292" s="62">
        <v>12.28</v>
      </c>
      <c r="P292" s="62">
        <v>3.92</v>
      </c>
      <c r="Q292" s="62">
        <v>17.78</v>
      </c>
      <c r="R292" s="62">
        <v>-14.8</v>
      </c>
      <c r="S292" s="62">
        <v>-3.5</v>
      </c>
      <c r="T292" s="63">
        <v>5.56</v>
      </c>
    </row>
    <row r="293" spans="1:20" ht="30.75" customHeight="1">
      <c r="A293" s="49"/>
      <c r="B293" s="57" t="s">
        <v>36</v>
      </c>
      <c r="C293" s="57" t="s">
        <v>29</v>
      </c>
      <c r="D293" s="57" t="s">
        <v>39</v>
      </c>
      <c r="E293" s="58" t="s">
        <v>151</v>
      </c>
      <c r="F293" s="59">
        <v>5066</v>
      </c>
      <c r="G293" s="60" t="e">
        <f t="shared" ca="1" si="4"/>
        <v>#NAME?</v>
      </c>
      <c r="H293" s="59">
        <v>6010</v>
      </c>
      <c r="I293" s="61" t="e">
        <f t="shared" ca="1" si="5"/>
        <v>#NAME?</v>
      </c>
      <c r="J293" s="59">
        <v>5058</v>
      </c>
      <c r="K293" s="61" t="e">
        <f t="shared" ca="1" si="6"/>
        <v>#NAME?</v>
      </c>
      <c r="L293" s="59">
        <v>4808</v>
      </c>
      <c r="M293" s="61" t="e">
        <f t="shared" ca="1" si="7"/>
        <v>#NAME?</v>
      </c>
      <c r="N293" s="37">
        <v>14.35</v>
      </c>
      <c r="O293" s="62">
        <v>15.79</v>
      </c>
      <c r="P293" s="62">
        <v>-3.91</v>
      </c>
      <c r="Q293" s="62">
        <v>11.11</v>
      </c>
      <c r="R293" s="62">
        <v>-3.69</v>
      </c>
      <c r="S293" s="62">
        <v>-3.5</v>
      </c>
      <c r="T293" s="63">
        <v>7.78</v>
      </c>
    </row>
    <row r="294" spans="1:20" ht="30.75" customHeight="1">
      <c r="A294" s="49"/>
      <c r="B294" s="50" t="s">
        <v>36</v>
      </c>
      <c r="C294" s="50" t="s">
        <v>30</v>
      </c>
      <c r="D294" s="50" t="s">
        <v>85</v>
      </c>
      <c r="E294" s="51" t="s">
        <v>152</v>
      </c>
      <c r="F294" s="43">
        <v>4643</v>
      </c>
      <c r="G294" s="44" t="e">
        <f t="shared" ca="1" si="4"/>
        <v>#NAME?</v>
      </c>
      <c r="H294" s="43">
        <v>3452</v>
      </c>
      <c r="I294" s="45" t="e">
        <f t="shared" ca="1" si="5"/>
        <v>#NAME?</v>
      </c>
      <c r="J294" s="43">
        <v>6396</v>
      </c>
      <c r="K294" s="45" t="e">
        <f t="shared" ca="1" si="6"/>
        <v>#NAME?</v>
      </c>
      <c r="L294" s="43">
        <v>4836</v>
      </c>
      <c r="M294" s="45" t="e">
        <f t="shared" ca="1" si="7"/>
        <v>#NAME?</v>
      </c>
      <c r="N294" s="37">
        <v>15.88</v>
      </c>
      <c r="O294" s="46">
        <v>0</v>
      </c>
      <c r="P294" s="46">
        <v>21.57</v>
      </c>
      <c r="Q294" s="46">
        <v>0</v>
      </c>
      <c r="R294" s="46">
        <v>0</v>
      </c>
      <c r="S294" s="46">
        <v>0</v>
      </c>
      <c r="T294" s="47">
        <v>0</v>
      </c>
    </row>
    <row r="295" spans="1:20" ht="30.75" customHeight="1">
      <c r="A295" s="49"/>
      <c r="B295" s="57"/>
      <c r="C295" s="57"/>
      <c r="D295" s="57"/>
      <c r="E295" s="58" t="s">
        <v>153</v>
      </c>
      <c r="F295" s="59">
        <v>7188</v>
      </c>
      <c r="G295" s="60" t="e">
        <f t="shared" ca="1" si="4"/>
        <v>#NAME?</v>
      </c>
      <c r="H295" s="59">
        <v>6203</v>
      </c>
      <c r="I295" s="61" t="e">
        <f t="shared" ca="1" si="5"/>
        <v>#NAME?</v>
      </c>
      <c r="J295" s="59">
        <v>8212</v>
      </c>
      <c r="K295" s="61" t="e">
        <f t="shared" ca="1" si="6"/>
        <v>#NAME?</v>
      </c>
      <c r="L295" s="59">
        <v>6176</v>
      </c>
      <c r="M295" s="61" t="e">
        <f t="shared" ca="1" si="7"/>
        <v>#NAME?</v>
      </c>
      <c r="N295" s="37" t="s">
        <v>22</v>
      </c>
      <c r="O295" s="62">
        <v>12.28</v>
      </c>
      <c r="P295" s="62">
        <v>9.8000000000000007</v>
      </c>
      <c r="Q295" s="62">
        <v>0</v>
      </c>
      <c r="R295" s="62">
        <v>0</v>
      </c>
      <c r="S295" s="62">
        <v>0</v>
      </c>
      <c r="T295" s="63">
        <v>0</v>
      </c>
    </row>
    <row r="296" spans="1:20" ht="30.75" customHeight="1">
      <c r="A296" s="49"/>
      <c r="B296" s="52"/>
      <c r="C296" s="52"/>
      <c r="D296" s="52"/>
      <c r="E296" s="53"/>
      <c r="F296" s="36"/>
      <c r="G296" s="28" t="e">
        <f t="shared" ca="1" si="4"/>
        <v>#NAME?</v>
      </c>
      <c r="H296" s="36"/>
      <c r="I296" s="29" t="e">
        <f t="shared" ca="1" si="5"/>
        <v>#NAME?</v>
      </c>
      <c r="J296" s="36"/>
      <c r="K296" s="29" t="e">
        <f t="shared" ca="1" si="6"/>
        <v>#NAME?</v>
      </c>
      <c r="L296" s="36"/>
      <c r="M296" s="29" t="e">
        <f t="shared" ca="1" si="7"/>
        <v>#NAME?</v>
      </c>
      <c r="N296" s="37"/>
      <c r="O296" s="38"/>
      <c r="P296" s="38"/>
      <c r="Q296" s="38"/>
      <c r="R296" s="38"/>
      <c r="S296" s="38"/>
      <c r="T296" s="39"/>
    </row>
    <row r="297" spans="1:20" ht="30.75" customHeight="1">
      <c r="A297" s="49"/>
      <c r="B297" s="52"/>
      <c r="C297" s="52"/>
      <c r="D297" s="52"/>
      <c r="E297" s="53"/>
      <c r="F297" s="36"/>
      <c r="G297" s="28" t="e">
        <f t="shared" ca="1" si="4"/>
        <v>#NAME?</v>
      </c>
      <c r="H297" s="36"/>
      <c r="I297" s="29" t="e">
        <f t="shared" ca="1" si="5"/>
        <v>#NAME?</v>
      </c>
      <c r="J297" s="36"/>
      <c r="K297" s="29" t="e">
        <f t="shared" ca="1" si="6"/>
        <v>#NAME?</v>
      </c>
      <c r="L297" s="36"/>
      <c r="M297" s="29" t="e">
        <f t="shared" ca="1" si="7"/>
        <v>#NAME?</v>
      </c>
      <c r="N297" s="37"/>
      <c r="O297" s="38"/>
      <c r="P297" s="38"/>
      <c r="Q297" s="38"/>
      <c r="R297" s="38"/>
      <c r="S297" s="38"/>
      <c r="T297" s="39"/>
    </row>
    <row r="298" spans="1:20" ht="30.75" customHeight="1">
      <c r="A298" s="49"/>
      <c r="B298" s="52"/>
      <c r="C298" s="52"/>
      <c r="D298" s="52"/>
      <c r="E298" s="53"/>
      <c r="F298" s="36"/>
      <c r="G298" s="28" t="e">
        <f t="shared" ca="1" si="4"/>
        <v>#NAME?</v>
      </c>
      <c r="H298" s="36"/>
      <c r="I298" s="29" t="e">
        <f t="shared" ca="1" si="5"/>
        <v>#NAME?</v>
      </c>
      <c r="J298" s="36"/>
      <c r="K298" s="29" t="e">
        <f t="shared" ca="1" si="6"/>
        <v>#NAME?</v>
      </c>
      <c r="L298" s="36"/>
      <c r="M298" s="29" t="e">
        <f t="shared" ca="1" si="7"/>
        <v>#NAME?</v>
      </c>
      <c r="N298" s="37"/>
      <c r="O298" s="38"/>
      <c r="P298" s="38"/>
      <c r="Q298" s="38"/>
      <c r="R298" s="38"/>
      <c r="S298" s="38"/>
      <c r="T298" s="39"/>
    </row>
    <row r="299" spans="1:20" ht="30.75" customHeight="1">
      <c r="A299" s="49"/>
      <c r="B299" s="52"/>
      <c r="C299" s="52"/>
      <c r="D299" s="52"/>
      <c r="E299" s="35"/>
      <c r="F299" s="36"/>
      <c r="G299" s="28" t="e">
        <f t="shared" ca="1" si="4"/>
        <v>#NAME?</v>
      </c>
      <c r="H299" s="36"/>
      <c r="I299" s="29" t="e">
        <f t="shared" ca="1" si="5"/>
        <v>#NAME?</v>
      </c>
      <c r="J299" s="36"/>
      <c r="K299" s="29" t="e">
        <f t="shared" ca="1" si="6"/>
        <v>#NAME?</v>
      </c>
      <c r="L299" s="36"/>
      <c r="M299" s="29" t="e">
        <f t="shared" ca="1" si="7"/>
        <v>#NAME?</v>
      </c>
      <c r="N299" s="37"/>
      <c r="O299" s="38"/>
      <c r="P299" s="38"/>
      <c r="Q299" s="38"/>
      <c r="R299" s="38"/>
      <c r="S299" s="38"/>
      <c r="T299" s="39"/>
    </row>
    <row r="300" spans="1:20" ht="30.75" customHeight="1">
      <c r="A300" s="49"/>
      <c r="B300" s="65"/>
      <c r="C300" s="66"/>
      <c r="D300" s="66"/>
      <c r="E300" s="67"/>
      <c r="F300" s="68"/>
      <c r="G300" s="69" t="e">
        <f t="shared" ca="1" si="4"/>
        <v>#NAME?</v>
      </c>
      <c r="H300" s="68"/>
      <c r="I300" s="69" t="e">
        <f t="shared" ca="1" si="5"/>
        <v>#NAME?</v>
      </c>
      <c r="J300" s="68"/>
      <c r="K300" s="69" t="e">
        <f t="shared" ca="1" si="6"/>
        <v>#NAME?</v>
      </c>
      <c r="L300" s="68"/>
      <c r="M300" s="70" t="e">
        <f t="shared" ca="1" si="7"/>
        <v>#NAME?</v>
      </c>
      <c r="N300" s="37"/>
      <c r="O300" s="71"/>
      <c r="P300" s="71"/>
      <c r="Q300" s="71"/>
      <c r="R300" s="71"/>
      <c r="S300" s="71"/>
      <c r="T300" s="72"/>
    </row>
    <row r="301" spans="1:20" ht="14.25" customHeight="1">
      <c r="F301" s="73"/>
      <c r="H301" s="73"/>
      <c r="J301" s="73"/>
      <c r="L301" s="73"/>
      <c r="M301" s="74"/>
    </row>
  </sheetData>
  <mergeCells count="6">
    <mergeCell ref="B4:D4"/>
    <mergeCell ref="V3:Z3"/>
    <mergeCell ref="E2:T2"/>
    <mergeCell ref="F4:M4"/>
    <mergeCell ref="O4:T4"/>
    <mergeCell ref="F3:S3"/>
  </mergeCell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CBEC-F7FC-4D32-9E40-DF2AC2C0EE64}">
  <dimension ref="A1:K291"/>
  <sheetViews>
    <sheetView tabSelected="1" workbookViewId="0">
      <selection activeCell="I1" sqref="H1:I1"/>
    </sheetView>
  </sheetViews>
  <sheetFormatPr defaultRowHeight="14.25"/>
  <cols>
    <col min="2" max="2" width="10.625" customWidth="1"/>
    <col min="4" max="4" width="12.875" customWidth="1"/>
    <col min="6" max="6" width="22.75" customWidth="1"/>
    <col min="7" max="7" width="20" customWidth="1"/>
    <col min="8" max="8" width="23" customWidth="1"/>
    <col min="9" max="9" width="26" customWidth="1"/>
  </cols>
  <sheetData>
    <row r="1" spans="1:11">
      <c r="A1" t="s">
        <v>4</v>
      </c>
      <c r="B1" t="s">
        <v>6</v>
      </c>
      <c r="C1" t="s">
        <v>8</v>
      </c>
      <c r="D1" t="s">
        <v>10</v>
      </c>
      <c r="E1" t="s">
        <v>12</v>
      </c>
      <c r="F1" t="s">
        <v>154</v>
      </c>
      <c r="G1" t="s">
        <v>155</v>
      </c>
      <c r="H1" t="s">
        <v>156</v>
      </c>
      <c r="I1" t="s">
        <v>157</v>
      </c>
      <c r="J1" t="s">
        <v>17</v>
      </c>
      <c r="K1" t="s">
        <v>18</v>
      </c>
    </row>
    <row r="3" spans="1:11">
      <c r="A3">
        <v>1</v>
      </c>
      <c r="B3">
        <v>1</v>
      </c>
      <c r="C3">
        <v>1</v>
      </c>
      <c r="D3">
        <v>1</v>
      </c>
      <c r="E3">
        <v>16.84</v>
      </c>
      <c r="F3">
        <v>68.33</v>
      </c>
      <c r="G3">
        <v>58.82</v>
      </c>
      <c r="H3">
        <v>85.42</v>
      </c>
      <c r="I3">
        <v>80</v>
      </c>
      <c r="J3">
        <v>14.04</v>
      </c>
      <c r="K3">
        <v>0</v>
      </c>
    </row>
    <row r="4" spans="1:11">
      <c r="A4">
        <v>2</v>
      </c>
      <c r="B4">
        <v>2</v>
      </c>
      <c r="C4">
        <v>2</v>
      </c>
      <c r="D4">
        <v>2</v>
      </c>
      <c r="E4">
        <v>16.649999999999999</v>
      </c>
      <c r="F4">
        <v>68.42</v>
      </c>
      <c r="G4">
        <v>47.06</v>
      </c>
      <c r="H4">
        <v>55.56</v>
      </c>
      <c r="I4">
        <v>44.44</v>
      </c>
      <c r="J4">
        <v>35.090000000000003</v>
      </c>
      <c r="K4">
        <v>76.67</v>
      </c>
    </row>
    <row r="5" spans="1:11">
      <c r="A5">
        <v>5</v>
      </c>
      <c r="B5">
        <v>4</v>
      </c>
      <c r="C5">
        <v>5</v>
      </c>
      <c r="D5">
        <v>4</v>
      </c>
      <c r="E5">
        <v>17.8</v>
      </c>
      <c r="F5">
        <v>55</v>
      </c>
      <c r="G5">
        <v>64.709999999999994</v>
      </c>
      <c r="H5">
        <v>41.67</v>
      </c>
      <c r="I5">
        <v>74.069999999999993</v>
      </c>
      <c r="J5">
        <v>3.51</v>
      </c>
      <c r="K5">
        <v>25.56</v>
      </c>
    </row>
    <row r="6" spans="1:11">
      <c r="A6">
        <v>8</v>
      </c>
      <c r="B6">
        <v>9</v>
      </c>
      <c r="C6">
        <v>7</v>
      </c>
      <c r="D6">
        <v>14</v>
      </c>
      <c r="F6">
        <v>29.82</v>
      </c>
      <c r="G6">
        <v>49.02</v>
      </c>
      <c r="H6">
        <v>64.44</v>
      </c>
      <c r="I6">
        <v>66.67</v>
      </c>
      <c r="J6">
        <v>0</v>
      </c>
      <c r="K6">
        <v>61.11</v>
      </c>
    </row>
    <row r="7" spans="1:11">
      <c r="A7">
        <v>9</v>
      </c>
      <c r="B7">
        <v>12</v>
      </c>
      <c r="C7">
        <v>8</v>
      </c>
      <c r="D7">
        <v>14</v>
      </c>
      <c r="E7">
        <v>14.96</v>
      </c>
      <c r="F7">
        <v>43.86</v>
      </c>
      <c r="G7">
        <v>47.06</v>
      </c>
      <c r="H7">
        <v>64.709999999999994</v>
      </c>
      <c r="I7">
        <v>80</v>
      </c>
      <c r="J7">
        <v>5.26</v>
      </c>
      <c r="K7">
        <v>3.33</v>
      </c>
    </row>
    <row r="8" spans="1:11">
      <c r="A8">
        <v>7</v>
      </c>
      <c r="B8">
        <v>6</v>
      </c>
      <c r="C8">
        <v>9</v>
      </c>
      <c r="D8">
        <v>6</v>
      </c>
      <c r="E8">
        <v>19.41</v>
      </c>
      <c r="F8">
        <v>50.88</v>
      </c>
      <c r="G8">
        <v>49.02</v>
      </c>
      <c r="H8">
        <v>44.44</v>
      </c>
      <c r="I8">
        <v>37.04</v>
      </c>
      <c r="J8">
        <v>21.05</v>
      </c>
      <c r="K8">
        <v>82.22</v>
      </c>
    </row>
    <row r="9" spans="1:11">
      <c r="A9">
        <v>10</v>
      </c>
      <c r="B9">
        <v>10</v>
      </c>
      <c r="C9">
        <v>10</v>
      </c>
      <c r="D9">
        <v>13</v>
      </c>
      <c r="E9">
        <v>19.350000000000001</v>
      </c>
      <c r="F9">
        <v>42.11</v>
      </c>
      <c r="G9">
        <v>58.82</v>
      </c>
      <c r="H9">
        <v>35.56</v>
      </c>
      <c r="I9">
        <v>66.67</v>
      </c>
      <c r="J9">
        <v>1.75</v>
      </c>
      <c r="K9">
        <v>47.78</v>
      </c>
    </row>
    <row r="10" spans="1:11">
      <c r="A10">
        <v>12</v>
      </c>
      <c r="B10">
        <v>15</v>
      </c>
      <c r="C10">
        <v>11</v>
      </c>
      <c r="D10">
        <v>9</v>
      </c>
      <c r="E10">
        <v>20</v>
      </c>
      <c r="F10">
        <v>61.4</v>
      </c>
      <c r="G10">
        <v>45.1</v>
      </c>
      <c r="H10">
        <v>41.67</v>
      </c>
      <c r="I10">
        <v>55.56</v>
      </c>
      <c r="J10">
        <v>5.26</v>
      </c>
      <c r="K10">
        <v>0</v>
      </c>
    </row>
    <row r="11" spans="1:11">
      <c r="A11">
        <v>16</v>
      </c>
      <c r="B11">
        <v>19</v>
      </c>
      <c r="C11">
        <v>12</v>
      </c>
      <c r="D11">
        <v>23</v>
      </c>
      <c r="E11">
        <v>18.149999999999999</v>
      </c>
      <c r="F11">
        <v>24.56</v>
      </c>
      <c r="G11">
        <v>49.02</v>
      </c>
      <c r="H11">
        <v>46.67</v>
      </c>
      <c r="I11">
        <v>74.069999999999993</v>
      </c>
      <c r="J11">
        <v>-1.74</v>
      </c>
      <c r="K11">
        <v>86.67</v>
      </c>
    </row>
    <row r="12" spans="1:11">
      <c r="A12">
        <v>11</v>
      </c>
      <c r="B12">
        <v>7</v>
      </c>
      <c r="C12">
        <v>13</v>
      </c>
      <c r="D12">
        <v>7</v>
      </c>
      <c r="E12">
        <v>16.07</v>
      </c>
      <c r="F12">
        <v>73.33</v>
      </c>
      <c r="G12">
        <v>60.78</v>
      </c>
      <c r="H12">
        <v>25</v>
      </c>
      <c r="I12">
        <v>62.96</v>
      </c>
      <c r="J12">
        <v>-1.74</v>
      </c>
      <c r="K12">
        <v>18.89</v>
      </c>
    </row>
    <row r="13" spans="1:11">
      <c r="A13">
        <v>13</v>
      </c>
      <c r="B13">
        <v>16</v>
      </c>
      <c r="C13">
        <v>14</v>
      </c>
      <c r="D13">
        <v>12</v>
      </c>
      <c r="E13">
        <v>19.46</v>
      </c>
      <c r="F13">
        <v>60</v>
      </c>
      <c r="G13">
        <v>55.56</v>
      </c>
      <c r="H13">
        <v>50</v>
      </c>
      <c r="I13">
        <v>41.67</v>
      </c>
      <c r="J13">
        <v>5.26</v>
      </c>
      <c r="K13">
        <v>0</v>
      </c>
    </row>
    <row r="14" spans="1:11">
      <c r="A14">
        <v>10</v>
      </c>
      <c r="B14">
        <v>19</v>
      </c>
      <c r="C14">
        <v>17</v>
      </c>
      <c r="D14">
        <v>13</v>
      </c>
      <c r="E14">
        <v>17.45</v>
      </c>
      <c r="F14">
        <v>65</v>
      </c>
      <c r="G14">
        <v>45.1</v>
      </c>
      <c r="H14">
        <v>60.42</v>
      </c>
      <c r="I14">
        <v>29.63</v>
      </c>
      <c r="J14">
        <v>5.26</v>
      </c>
      <c r="K14">
        <v>13.33</v>
      </c>
    </row>
    <row r="15" spans="1:11">
      <c r="A15">
        <v>18</v>
      </c>
      <c r="B15">
        <v>18</v>
      </c>
      <c r="C15">
        <v>24</v>
      </c>
      <c r="D15">
        <v>20</v>
      </c>
      <c r="E15">
        <v>18.3</v>
      </c>
      <c r="F15">
        <v>45</v>
      </c>
      <c r="G15">
        <v>60.78</v>
      </c>
      <c r="H15">
        <v>52.08</v>
      </c>
      <c r="I15">
        <v>29.63</v>
      </c>
      <c r="J15">
        <v>1.75</v>
      </c>
      <c r="K15">
        <v>28.89</v>
      </c>
    </row>
    <row r="16" spans="1:11">
      <c r="A16">
        <v>21</v>
      </c>
      <c r="B16">
        <v>21</v>
      </c>
      <c r="C16">
        <v>26</v>
      </c>
      <c r="D16">
        <v>19</v>
      </c>
      <c r="E16">
        <v>19.84</v>
      </c>
      <c r="F16">
        <v>56.14</v>
      </c>
      <c r="G16">
        <v>52.94</v>
      </c>
      <c r="H16">
        <v>37.78</v>
      </c>
      <c r="I16">
        <v>25.93</v>
      </c>
      <c r="J16">
        <v>8.77</v>
      </c>
      <c r="K16">
        <v>22.22</v>
      </c>
    </row>
    <row r="17" spans="1:11">
      <c r="A17">
        <v>43</v>
      </c>
      <c r="B17">
        <v>35</v>
      </c>
      <c r="C17">
        <v>31</v>
      </c>
      <c r="D17">
        <v>47</v>
      </c>
      <c r="E17">
        <v>19.98</v>
      </c>
      <c r="F17">
        <v>24.56</v>
      </c>
      <c r="G17">
        <v>50.98</v>
      </c>
      <c r="H17">
        <v>16.670000000000002</v>
      </c>
      <c r="I17">
        <v>66.67</v>
      </c>
      <c r="J17">
        <v>22.81</v>
      </c>
      <c r="K17">
        <v>26.67</v>
      </c>
    </row>
    <row r="18" spans="1:11">
      <c r="A18">
        <v>33</v>
      </c>
      <c r="B18">
        <v>30</v>
      </c>
      <c r="C18">
        <v>35</v>
      </c>
      <c r="D18">
        <v>37</v>
      </c>
      <c r="E18">
        <v>17.97</v>
      </c>
      <c r="F18">
        <v>45.61</v>
      </c>
      <c r="G18">
        <v>52.94</v>
      </c>
      <c r="H18">
        <v>39.58</v>
      </c>
      <c r="I18">
        <v>40.74</v>
      </c>
      <c r="J18">
        <v>0</v>
      </c>
      <c r="K18">
        <v>23.33</v>
      </c>
    </row>
    <row r="19" spans="1:11">
      <c r="A19">
        <v>38</v>
      </c>
      <c r="B19">
        <v>28</v>
      </c>
      <c r="C19">
        <v>37</v>
      </c>
      <c r="D19">
        <v>30</v>
      </c>
      <c r="E19">
        <v>18.71</v>
      </c>
      <c r="F19">
        <v>52.63</v>
      </c>
      <c r="G19">
        <v>56.86</v>
      </c>
      <c r="H19">
        <v>22.22</v>
      </c>
      <c r="I19">
        <v>51.85</v>
      </c>
      <c r="J19">
        <v>0</v>
      </c>
      <c r="K19">
        <v>0</v>
      </c>
    </row>
    <row r="20" spans="1:11">
      <c r="A20">
        <v>35</v>
      </c>
      <c r="B20">
        <v>25</v>
      </c>
      <c r="C20">
        <v>38</v>
      </c>
      <c r="D20">
        <v>36</v>
      </c>
      <c r="E20">
        <v>20</v>
      </c>
      <c r="F20">
        <v>35.090000000000003</v>
      </c>
      <c r="G20">
        <v>58.82</v>
      </c>
      <c r="H20">
        <v>17.78</v>
      </c>
      <c r="I20">
        <v>44.44</v>
      </c>
      <c r="J20">
        <v>19.3</v>
      </c>
      <c r="K20">
        <v>33.33</v>
      </c>
    </row>
    <row r="21" spans="1:11">
      <c r="A21">
        <v>40</v>
      </c>
      <c r="B21">
        <v>36</v>
      </c>
      <c r="C21">
        <v>39</v>
      </c>
      <c r="D21">
        <v>31</v>
      </c>
      <c r="E21">
        <v>17.510000000000002</v>
      </c>
      <c r="F21">
        <v>55</v>
      </c>
      <c r="G21">
        <v>50.98</v>
      </c>
      <c r="H21">
        <v>26.67</v>
      </c>
      <c r="I21">
        <v>44.44</v>
      </c>
      <c r="J21">
        <v>-1.74</v>
      </c>
      <c r="K21">
        <v>30</v>
      </c>
    </row>
    <row r="22" spans="1:11">
      <c r="A22">
        <v>77</v>
      </c>
      <c r="B22">
        <v>89</v>
      </c>
      <c r="C22">
        <v>40</v>
      </c>
      <c r="D22">
        <v>90</v>
      </c>
      <c r="E22">
        <v>17.22</v>
      </c>
      <c r="F22">
        <v>14.04</v>
      </c>
      <c r="G22">
        <v>21.57</v>
      </c>
      <c r="H22">
        <v>10.42</v>
      </c>
      <c r="I22">
        <v>76.67</v>
      </c>
      <c r="J22">
        <v>42.11</v>
      </c>
      <c r="K22">
        <v>86.67</v>
      </c>
    </row>
    <row r="23" spans="1:11">
      <c r="A23">
        <v>55</v>
      </c>
      <c r="B23">
        <v>71</v>
      </c>
      <c r="C23">
        <v>41</v>
      </c>
      <c r="D23">
        <v>57</v>
      </c>
      <c r="E23">
        <v>18.16</v>
      </c>
      <c r="F23">
        <v>45.61</v>
      </c>
      <c r="G23">
        <v>29.41</v>
      </c>
      <c r="H23">
        <v>35.56</v>
      </c>
      <c r="I23">
        <v>44.44</v>
      </c>
      <c r="J23">
        <v>0</v>
      </c>
      <c r="K23">
        <v>57.78</v>
      </c>
    </row>
    <row r="24" spans="1:11">
      <c r="A24">
        <v>51</v>
      </c>
      <c r="B24">
        <v>64</v>
      </c>
      <c r="C24">
        <v>42</v>
      </c>
      <c r="D24">
        <v>45</v>
      </c>
      <c r="E24">
        <v>20</v>
      </c>
      <c r="F24">
        <v>61.67</v>
      </c>
      <c r="G24">
        <v>31.37</v>
      </c>
      <c r="H24">
        <v>35.42</v>
      </c>
      <c r="I24">
        <v>33.33</v>
      </c>
      <c r="J24">
        <v>0</v>
      </c>
      <c r="K24">
        <v>0</v>
      </c>
    </row>
    <row r="25" spans="1:11">
      <c r="A25">
        <v>54</v>
      </c>
      <c r="B25">
        <v>44</v>
      </c>
      <c r="C25">
        <v>45</v>
      </c>
      <c r="D25">
        <v>43</v>
      </c>
      <c r="E25">
        <v>18.649999999999999</v>
      </c>
      <c r="F25">
        <v>53.33</v>
      </c>
      <c r="G25">
        <v>50.98</v>
      </c>
      <c r="H25">
        <v>15.56</v>
      </c>
      <c r="I25">
        <v>55.56</v>
      </c>
      <c r="J25">
        <v>0</v>
      </c>
      <c r="K25">
        <v>0</v>
      </c>
    </row>
    <row r="26" spans="1:11">
      <c r="A26">
        <v>46</v>
      </c>
      <c r="B26">
        <v>32</v>
      </c>
      <c r="C26">
        <v>48</v>
      </c>
      <c r="D26">
        <v>39</v>
      </c>
      <c r="E26">
        <v>17.329999999999998</v>
      </c>
      <c r="F26">
        <v>43.33</v>
      </c>
      <c r="G26">
        <v>58.82</v>
      </c>
      <c r="H26">
        <v>17.78</v>
      </c>
      <c r="I26">
        <v>40.74</v>
      </c>
      <c r="J26">
        <v>0</v>
      </c>
      <c r="K26">
        <v>77.78</v>
      </c>
    </row>
    <row r="27" spans="1:11">
      <c r="A27">
        <v>45</v>
      </c>
      <c r="B27">
        <v>37</v>
      </c>
      <c r="C27">
        <v>49</v>
      </c>
      <c r="D27">
        <v>41</v>
      </c>
      <c r="E27">
        <v>18.399999999999999</v>
      </c>
      <c r="F27">
        <v>42.11</v>
      </c>
      <c r="G27">
        <v>52.94</v>
      </c>
      <c r="H27">
        <v>20</v>
      </c>
      <c r="I27">
        <v>33.33</v>
      </c>
      <c r="J27">
        <v>15.79</v>
      </c>
      <c r="K27">
        <v>54.44</v>
      </c>
    </row>
    <row r="28" spans="1:11">
      <c r="A28">
        <v>48</v>
      </c>
      <c r="B28">
        <v>42</v>
      </c>
      <c r="C28">
        <v>53</v>
      </c>
      <c r="D28">
        <v>46</v>
      </c>
      <c r="E28">
        <v>17.21</v>
      </c>
      <c r="F28">
        <v>46.67</v>
      </c>
      <c r="G28">
        <v>52.94</v>
      </c>
      <c r="H28">
        <v>31.25</v>
      </c>
      <c r="I28">
        <v>33.33</v>
      </c>
      <c r="J28">
        <v>0</v>
      </c>
      <c r="K28">
        <v>43.33</v>
      </c>
    </row>
    <row r="29" spans="1:11">
      <c r="A29">
        <v>56</v>
      </c>
      <c r="B29">
        <v>61</v>
      </c>
      <c r="C29">
        <v>56</v>
      </c>
      <c r="D29">
        <v>53</v>
      </c>
      <c r="E29">
        <v>19.760000000000002</v>
      </c>
      <c r="F29">
        <v>48.33</v>
      </c>
      <c r="G29">
        <v>37.25</v>
      </c>
      <c r="H29">
        <v>29.17</v>
      </c>
      <c r="I29">
        <v>33.33</v>
      </c>
      <c r="J29">
        <v>0</v>
      </c>
      <c r="K29">
        <v>47.78</v>
      </c>
    </row>
    <row r="30" spans="1:11">
      <c r="A30">
        <v>42</v>
      </c>
      <c r="B30">
        <v>40</v>
      </c>
      <c r="C30">
        <v>60</v>
      </c>
      <c r="D30">
        <v>44</v>
      </c>
      <c r="E30">
        <v>18.82</v>
      </c>
      <c r="F30">
        <v>41.67</v>
      </c>
      <c r="G30">
        <v>50.98</v>
      </c>
      <c r="H30">
        <v>31.11</v>
      </c>
      <c r="I30">
        <v>14.81</v>
      </c>
      <c r="J30">
        <v>26.32</v>
      </c>
      <c r="K30">
        <v>32.22</v>
      </c>
    </row>
    <row r="31" spans="1:11">
      <c r="A31">
        <v>53</v>
      </c>
      <c r="B31">
        <v>66</v>
      </c>
      <c r="C31">
        <v>61</v>
      </c>
      <c r="D31">
        <v>83</v>
      </c>
      <c r="E31">
        <v>15.46</v>
      </c>
      <c r="F31">
        <v>21.05</v>
      </c>
      <c r="G31">
        <v>52.94</v>
      </c>
      <c r="H31">
        <v>62.5</v>
      </c>
      <c r="I31">
        <v>40.74</v>
      </c>
      <c r="J31">
        <v>0</v>
      </c>
      <c r="K31">
        <v>0</v>
      </c>
    </row>
    <row r="32" spans="1:11">
      <c r="A32">
        <v>67</v>
      </c>
      <c r="B32">
        <v>84</v>
      </c>
      <c r="C32">
        <v>62</v>
      </c>
      <c r="D32">
        <v>62</v>
      </c>
      <c r="E32">
        <v>18.5</v>
      </c>
      <c r="F32">
        <v>53.33</v>
      </c>
      <c r="G32">
        <v>31.37</v>
      </c>
      <c r="H32">
        <v>35.56</v>
      </c>
      <c r="I32">
        <v>40.74</v>
      </c>
      <c r="J32">
        <v>0</v>
      </c>
      <c r="K32">
        <v>0</v>
      </c>
    </row>
    <row r="33" spans="1:11">
      <c r="A33">
        <v>57</v>
      </c>
      <c r="B33">
        <v>57</v>
      </c>
      <c r="C33">
        <v>63</v>
      </c>
      <c r="D33">
        <v>66</v>
      </c>
      <c r="E33">
        <v>17.5</v>
      </c>
      <c r="F33">
        <v>29.82</v>
      </c>
      <c r="G33">
        <v>50.98</v>
      </c>
      <c r="H33">
        <v>33.33</v>
      </c>
      <c r="I33">
        <v>44.44</v>
      </c>
      <c r="J33">
        <v>0</v>
      </c>
      <c r="K33">
        <v>51.11</v>
      </c>
    </row>
    <row r="34" spans="1:11">
      <c r="A34">
        <v>50</v>
      </c>
      <c r="B34">
        <v>43</v>
      </c>
      <c r="C34">
        <v>64</v>
      </c>
      <c r="D34">
        <v>49</v>
      </c>
      <c r="E34">
        <v>18.7</v>
      </c>
      <c r="F34">
        <v>43.86</v>
      </c>
      <c r="G34">
        <v>56.86</v>
      </c>
      <c r="H34">
        <v>26.67</v>
      </c>
      <c r="I34">
        <v>33.33</v>
      </c>
      <c r="J34">
        <v>8.77</v>
      </c>
      <c r="K34">
        <v>0</v>
      </c>
    </row>
    <row r="35" spans="1:11">
      <c r="A35">
        <v>37</v>
      </c>
      <c r="B35">
        <v>29</v>
      </c>
      <c r="C35">
        <v>68</v>
      </c>
      <c r="D35">
        <v>41</v>
      </c>
      <c r="E35">
        <v>18.670000000000002</v>
      </c>
      <c r="F35">
        <v>47.37</v>
      </c>
      <c r="G35">
        <v>70.59</v>
      </c>
      <c r="H35">
        <v>41.67</v>
      </c>
      <c r="I35">
        <v>11.11</v>
      </c>
      <c r="J35">
        <v>0</v>
      </c>
      <c r="K35">
        <v>0</v>
      </c>
    </row>
    <row r="36" spans="1:11">
      <c r="A36">
        <v>67</v>
      </c>
      <c r="B36">
        <v>74</v>
      </c>
      <c r="C36">
        <v>68</v>
      </c>
      <c r="D36">
        <v>73</v>
      </c>
      <c r="E36">
        <v>16.68</v>
      </c>
      <c r="F36">
        <v>38.6</v>
      </c>
      <c r="G36">
        <v>45.1</v>
      </c>
      <c r="H36">
        <v>35.56</v>
      </c>
      <c r="I36">
        <v>40.74</v>
      </c>
      <c r="J36">
        <v>3.51</v>
      </c>
      <c r="K36">
        <v>18.89</v>
      </c>
    </row>
    <row r="37" spans="1:11">
      <c r="A37">
        <v>74</v>
      </c>
      <c r="B37">
        <v>105</v>
      </c>
      <c r="C37">
        <v>69</v>
      </c>
      <c r="D37">
        <v>79</v>
      </c>
      <c r="E37">
        <v>17.72</v>
      </c>
      <c r="F37">
        <v>43.86</v>
      </c>
      <c r="G37">
        <v>19.61</v>
      </c>
      <c r="H37">
        <v>44.44</v>
      </c>
      <c r="I37">
        <v>22.22</v>
      </c>
      <c r="J37">
        <v>0</v>
      </c>
      <c r="K37">
        <v>91.11</v>
      </c>
    </row>
    <row r="38" spans="1:11">
      <c r="A38">
        <v>70</v>
      </c>
      <c r="B38">
        <v>75</v>
      </c>
      <c r="C38">
        <v>72</v>
      </c>
      <c r="D38">
        <v>73</v>
      </c>
      <c r="E38">
        <v>17.600000000000001</v>
      </c>
      <c r="F38">
        <v>42.11</v>
      </c>
      <c r="G38">
        <v>47.06</v>
      </c>
      <c r="H38">
        <v>33.33</v>
      </c>
      <c r="I38">
        <v>33.33</v>
      </c>
      <c r="J38">
        <v>0</v>
      </c>
      <c r="K38">
        <v>15.56</v>
      </c>
    </row>
    <row r="39" spans="1:11">
      <c r="A39">
        <v>71</v>
      </c>
      <c r="B39">
        <v>50</v>
      </c>
      <c r="C39">
        <v>73</v>
      </c>
      <c r="D39">
        <v>55</v>
      </c>
      <c r="E39">
        <v>18.55</v>
      </c>
      <c r="F39">
        <v>45</v>
      </c>
      <c r="G39">
        <v>56.86</v>
      </c>
      <c r="H39">
        <v>2.2200000000000002</v>
      </c>
      <c r="I39">
        <v>44.44</v>
      </c>
      <c r="J39">
        <v>1.75</v>
      </c>
      <c r="K39">
        <v>50</v>
      </c>
    </row>
    <row r="40" spans="1:11">
      <c r="A40">
        <v>106</v>
      </c>
      <c r="B40">
        <v>112</v>
      </c>
      <c r="C40">
        <v>76</v>
      </c>
      <c r="D40">
        <v>105</v>
      </c>
      <c r="E40">
        <v>16.16</v>
      </c>
      <c r="F40">
        <v>41.67</v>
      </c>
      <c r="G40">
        <v>33.33</v>
      </c>
      <c r="H40">
        <v>28.89</v>
      </c>
      <c r="I40">
        <v>55.56</v>
      </c>
      <c r="J40">
        <v>-1.74</v>
      </c>
      <c r="K40">
        <v>0</v>
      </c>
    </row>
    <row r="41" spans="1:11">
      <c r="A41">
        <v>45</v>
      </c>
      <c r="B41">
        <v>27</v>
      </c>
      <c r="C41">
        <v>78</v>
      </c>
      <c r="D41">
        <v>26</v>
      </c>
      <c r="E41">
        <v>19.399999999999999</v>
      </c>
      <c r="F41">
        <v>60</v>
      </c>
      <c r="G41">
        <v>68.63</v>
      </c>
      <c r="H41">
        <v>15.56</v>
      </c>
      <c r="I41">
        <v>0</v>
      </c>
      <c r="J41">
        <v>0</v>
      </c>
      <c r="K41">
        <v>67.78</v>
      </c>
    </row>
    <row r="42" spans="1:11">
      <c r="A42">
        <v>81</v>
      </c>
      <c r="B42">
        <v>81</v>
      </c>
      <c r="C42">
        <v>81</v>
      </c>
      <c r="D42">
        <v>84</v>
      </c>
      <c r="F42">
        <v>38.33</v>
      </c>
      <c r="G42">
        <v>52.94</v>
      </c>
      <c r="H42">
        <v>31.25</v>
      </c>
      <c r="I42">
        <v>40.74</v>
      </c>
      <c r="J42">
        <v>0</v>
      </c>
      <c r="K42">
        <v>0</v>
      </c>
    </row>
    <row r="43" spans="1:11">
      <c r="A43">
        <v>61</v>
      </c>
      <c r="B43">
        <v>53</v>
      </c>
      <c r="C43">
        <v>83</v>
      </c>
      <c r="D43">
        <v>48</v>
      </c>
      <c r="E43">
        <v>18.72</v>
      </c>
      <c r="F43">
        <v>61.4</v>
      </c>
      <c r="G43">
        <v>54.9</v>
      </c>
      <c r="H43">
        <v>26.67</v>
      </c>
      <c r="I43">
        <v>3.7</v>
      </c>
      <c r="J43">
        <v>0</v>
      </c>
      <c r="K43">
        <v>17.78</v>
      </c>
    </row>
    <row r="44" spans="1:11">
      <c r="A44">
        <v>89</v>
      </c>
      <c r="B44">
        <v>83</v>
      </c>
      <c r="C44">
        <v>85</v>
      </c>
      <c r="D44">
        <v>72</v>
      </c>
      <c r="E44">
        <v>18.34</v>
      </c>
      <c r="F44">
        <v>51.67</v>
      </c>
      <c r="G44">
        <v>45.1</v>
      </c>
      <c r="H44">
        <v>11.11</v>
      </c>
      <c r="I44">
        <v>40.74</v>
      </c>
      <c r="J44">
        <v>0</v>
      </c>
      <c r="K44">
        <v>16.670000000000002</v>
      </c>
    </row>
    <row r="45" spans="1:11">
      <c r="A45">
        <v>103</v>
      </c>
      <c r="B45">
        <v>123</v>
      </c>
      <c r="C45">
        <v>87</v>
      </c>
      <c r="D45">
        <v>100</v>
      </c>
      <c r="E45">
        <v>20</v>
      </c>
      <c r="F45">
        <v>46.67</v>
      </c>
      <c r="G45">
        <v>23.53</v>
      </c>
      <c r="H45">
        <v>28.89</v>
      </c>
      <c r="I45">
        <v>29.63</v>
      </c>
      <c r="J45">
        <v>0</v>
      </c>
      <c r="K45">
        <v>30</v>
      </c>
    </row>
    <row r="46" spans="1:11">
      <c r="A46">
        <v>88</v>
      </c>
      <c r="B46">
        <v>86</v>
      </c>
      <c r="C46">
        <v>89</v>
      </c>
      <c r="D46">
        <v>92</v>
      </c>
      <c r="E46">
        <v>16.350000000000001</v>
      </c>
      <c r="F46">
        <v>38.33</v>
      </c>
      <c r="G46">
        <v>52.94</v>
      </c>
      <c r="H46">
        <v>24.44</v>
      </c>
      <c r="I46">
        <v>44.44</v>
      </c>
      <c r="J46">
        <v>0</v>
      </c>
      <c r="K46">
        <v>0</v>
      </c>
    </row>
    <row r="47" spans="1:11">
      <c r="A47">
        <v>78</v>
      </c>
      <c r="B47">
        <v>65</v>
      </c>
      <c r="C47">
        <v>90</v>
      </c>
      <c r="D47">
        <v>64</v>
      </c>
      <c r="E47">
        <v>18.91</v>
      </c>
      <c r="F47">
        <v>47.37</v>
      </c>
      <c r="G47">
        <v>52.94</v>
      </c>
      <c r="H47">
        <v>8.89</v>
      </c>
      <c r="I47">
        <v>29.63</v>
      </c>
      <c r="J47">
        <v>0</v>
      </c>
      <c r="K47">
        <v>50</v>
      </c>
    </row>
    <row r="48" spans="1:11">
      <c r="A48">
        <v>96</v>
      </c>
      <c r="B48">
        <v>93</v>
      </c>
      <c r="C48">
        <v>91</v>
      </c>
      <c r="D48">
        <v>89</v>
      </c>
      <c r="E48">
        <v>15.85</v>
      </c>
      <c r="F48">
        <v>45.61</v>
      </c>
      <c r="G48">
        <v>45.1</v>
      </c>
      <c r="H48">
        <v>20</v>
      </c>
      <c r="I48">
        <v>44.44</v>
      </c>
      <c r="J48">
        <v>5.26</v>
      </c>
      <c r="K48">
        <v>0</v>
      </c>
    </row>
    <row r="49" spans="1:11">
      <c r="A49">
        <v>94</v>
      </c>
      <c r="B49">
        <v>72</v>
      </c>
      <c r="C49">
        <v>93</v>
      </c>
      <c r="D49">
        <v>91</v>
      </c>
      <c r="E49">
        <v>16.96</v>
      </c>
      <c r="F49">
        <v>33.33</v>
      </c>
      <c r="G49">
        <v>62.75</v>
      </c>
      <c r="H49">
        <v>6.67</v>
      </c>
      <c r="I49">
        <v>59.26</v>
      </c>
      <c r="J49">
        <v>0</v>
      </c>
      <c r="K49">
        <v>0</v>
      </c>
    </row>
    <row r="50" spans="1:11">
      <c r="A50">
        <v>105</v>
      </c>
      <c r="B50">
        <v>87</v>
      </c>
      <c r="C50">
        <v>95</v>
      </c>
      <c r="D50">
        <v>87</v>
      </c>
      <c r="E50">
        <v>16.63</v>
      </c>
      <c r="F50">
        <v>43.86</v>
      </c>
      <c r="G50">
        <v>52.94</v>
      </c>
      <c r="H50">
        <v>6.67</v>
      </c>
      <c r="I50">
        <v>55.56</v>
      </c>
      <c r="J50">
        <v>0</v>
      </c>
      <c r="K50">
        <v>0</v>
      </c>
    </row>
    <row r="51" spans="1:11">
      <c r="A51">
        <v>110</v>
      </c>
      <c r="B51">
        <v>108</v>
      </c>
      <c r="C51">
        <v>96</v>
      </c>
      <c r="D51">
        <v>116</v>
      </c>
      <c r="E51">
        <v>20</v>
      </c>
      <c r="F51">
        <v>26.32</v>
      </c>
      <c r="G51">
        <v>39.22</v>
      </c>
      <c r="H51">
        <v>20</v>
      </c>
      <c r="I51">
        <v>44.44</v>
      </c>
      <c r="J51">
        <v>5.26</v>
      </c>
      <c r="K51">
        <v>26.67</v>
      </c>
    </row>
    <row r="52" spans="1:11">
      <c r="A52">
        <v>104</v>
      </c>
      <c r="B52">
        <v>116</v>
      </c>
      <c r="C52">
        <v>100</v>
      </c>
      <c r="D52">
        <v>120</v>
      </c>
      <c r="E52">
        <v>16.29</v>
      </c>
      <c r="F52">
        <v>29.82</v>
      </c>
      <c r="G52">
        <v>35.29</v>
      </c>
      <c r="H52">
        <v>33.33</v>
      </c>
      <c r="I52">
        <v>25.93</v>
      </c>
      <c r="J52">
        <v>15.79</v>
      </c>
      <c r="K52">
        <v>64.44</v>
      </c>
    </row>
    <row r="53" spans="1:11">
      <c r="A53">
        <v>73</v>
      </c>
      <c r="B53">
        <v>60</v>
      </c>
      <c r="C53">
        <v>102</v>
      </c>
      <c r="D53">
        <v>84</v>
      </c>
      <c r="E53">
        <v>18.899999999999999</v>
      </c>
      <c r="F53">
        <v>26.67</v>
      </c>
      <c r="G53">
        <v>68.63</v>
      </c>
      <c r="H53">
        <v>31.11</v>
      </c>
      <c r="I53">
        <v>18.52</v>
      </c>
      <c r="J53">
        <v>0</v>
      </c>
      <c r="K53">
        <v>13.33</v>
      </c>
    </row>
    <row r="54" spans="1:11">
      <c r="A54">
        <v>140</v>
      </c>
      <c r="B54">
        <v>172</v>
      </c>
      <c r="C54">
        <v>106</v>
      </c>
      <c r="D54">
        <v>132</v>
      </c>
      <c r="E54">
        <v>17.36</v>
      </c>
      <c r="F54">
        <v>48.33</v>
      </c>
      <c r="G54">
        <v>19.61</v>
      </c>
      <c r="H54">
        <v>24.44</v>
      </c>
      <c r="I54">
        <v>44.44</v>
      </c>
      <c r="J54">
        <v>0</v>
      </c>
      <c r="K54">
        <v>8.89</v>
      </c>
    </row>
    <row r="55" spans="1:11">
      <c r="A55">
        <v>167</v>
      </c>
      <c r="B55">
        <v>210</v>
      </c>
      <c r="C55">
        <v>107</v>
      </c>
      <c r="D55">
        <v>168</v>
      </c>
      <c r="E55">
        <v>17.89</v>
      </c>
      <c r="F55">
        <v>35</v>
      </c>
      <c r="G55">
        <v>17.649999999999999</v>
      </c>
      <c r="H55">
        <v>24.44</v>
      </c>
      <c r="I55">
        <v>55.56</v>
      </c>
      <c r="J55">
        <v>5.26</v>
      </c>
      <c r="K55">
        <v>17.78</v>
      </c>
    </row>
    <row r="56" spans="1:11">
      <c r="A56">
        <v>93</v>
      </c>
      <c r="B56">
        <v>85</v>
      </c>
      <c r="C56">
        <v>108</v>
      </c>
      <c r="D56">
        <v>78</v>
      </c>
      <c r="E56">
        <v>20</v>
      </c>
      <c r="F56">
        <v>50</v>
      </c>
      <c r="G56">
        <v>50.98</v>
      </c>
      <c r="H56">
        <v>11.11</v>
      </c>
      <c r="I56">
        <v>25.93</v>
      </c>
      <c r="J56">
        <v>0</v>
      </c>
      <c r="K56">
        <v>3.33</v>
      </c>
    </row>
    <row r="57" spans="1:11">
      <c r="A57">
        <v>84</v>
      </c>
      <c r="B57">
        <v>76</v>
      </c>
      <c r="C57">
        <v>111</v>
      </c>
      <c r="D57">
        <v>81</v>
      </c>
      <c r="E57">
        <v>18.190000000000001</v>
      </c>
      <c r="F57">
        <v>38.6</v>
      </c>
      <c r="G57">
        <v>56.86</v>
      </c>
      <c r="H57">
        <v>22.22</v>
      </c>
      <c r="I57">
        <v>14.81</v>
      </c>
      <c r="J57">
        <v>0</v>
      </c>
      <c r="K57">
        <v>50</v>
      </c>
    </row>
    <row r="58" spans="1:11">
      <c r="A58">
        <v>96</v>
      </c>
      <c r="B58">
        <v>84</v>
      </c>
      <c r="C58">
        <v>112</v>
      </c>
      <c r="D58">
        <v>84</v>
      </c>
      <c r="E58">
        <v>18.59</v>
      </c>
      <c r="F58">
        <v>48.33</v>
      </c>
      <c r="G58">
        <v>52.94</v>
      </c>
      <c r="H58">
        <v>20</v>
      </c>
      <c r="I58">
        <v>25.93</v>
      </c>
      <c r="J58">
        <v>0</v>
      </c>
      <c r="K58">
        <v>0</v>
      </c>
    </row>
    <row r="59" spans="1:11">
      <c r="A59">
        <v>101</v>
      </c>
      <c r="B59">
        <v>106</v>
      </c>
      <c r="C59">
        <v>112</v>
      </c>
      <c r="D59">
        <v>99</v>
      </c>
      <c r="E59">
        <v>16.760000000000002</v>
      </c>
      <c r="F59">
        <v>48.33</v>
      </c>
      <c r="G59">
        <v>43.14</v>
      </c>
      <c r="H59">
        <v>31.11</v>
      </c>
      <c r="I59">
        <v>22.22</v>
      </c>
      <c r="J59">
        <v>0</v>
      </c>
      <c r="K59">
        <v>0</v>
      </c>
    </row>
    <row r="60" spans="1:11">
      <c r="A60">
        <v>120</v>
      </c>
      <c r="B60">
        <v>118</v>
      </c>
      <c r="C60">
        <v>115</v>
      </c>
      <c r="D60">
        <v>103</v>
      </c>
      <c r="E60">
        <v>17.27</v>
      </c>
      <c r="F60">
        <v>51.67</v>
      </c>
      <c r="G60">
        <v>33.33</v>
      </c>
      <c r="H60">
        <v>16.670000000000002</v>
      </c>
      <c r="I60">
        <v>29.63</v>
      </c>
      <c r="J60">
        <v>0</v>
      </c>
      <c r="K60">
        <v>38.89</v>
      </c>
    </row>
    <row r="61" spans="1:11">
      <c r="A61">
        <v>104</v>
      </c>
      <c r="B61">
        <v>98</v>
      </c>
      <c r="C61">
        <v>116</v>
      </c>
      <c r="D61">
        <v>98</v>
      </c>
      <c r="E61">
        <v>17.86</v>
      </c>
      <c r="F61">
        <v>45</v>
      </c>
      <c r="G61">
        <v>47.06</v>
      </c>
      <c r="H61">
        <v>24.44</v>
      </c>
      <c r="I61">
        <v>25.93</v>
      </c>
      <c r="J61">
        <v>0</v>
      </c>
      <c r="K61">
        <v>0</v>
      </c>
    </row>
    <row r="62" spans="1:11">
      <c r="A62">
        <v>116</v>
      </c>
      <c r="B62">
        <v>100</v>
      </c>
      <c r="C62">
        <v>117</v>
      </c>
      <c r="D62">
        <v>108</v>
      </c>
      <c r="E62">
        <v>19.21</v>
      </c>
      <c r="F62">
        <v>36.840000000000003</v>
      </c>
      <c r="G62">
        <v>49.02</v>
      </c>
      <c r="H62">
        <v>13.33</v>
      </c>
      <c r="I62">
        <v>40.74</v>
      </c>
      <c r="J62">
        <v>0</v>
      </c>
      <c r="K62">
        <v>0</v>
      </c>
    </row>
    <row r="63" spans="1:11">
      <c r="A63">
        <v>82</v>
      </c>
      <c r="B63">
        <v>100</v>
      </c>
      <c r="C63">
        <v>120</v>
      </c>
      <c r="D63">
        <v>116</v>
      </c>
      <c r="E63">
        <v>18.39</v>
      </c>
      <c r="F63">
        <v>28.07</v>
      </c>
      <c r="G63">
        <v>47.06</v>
      </c>
      <c r="H63">
        <v>51.11</v>
      </c>
      <c r="I63">
        <v>-3.69</v>
      </c>
      <c r="J63">
        <v>-1.74</v>
      </c>
      <c r="K63">
        <v>64.44</v>
      </c>
    </row>
    <row r="64" spans="1:11">
      <c r="A64">
        <v>95</v>
      </c>
      <c r="B64">
        <v>68</v>
      </c>
      <c r="C64">
        <v>120</v>
      </c>
      <c r="D64">
        <v>77</v>
      </c>
      <c r="E64">
        <v>17.46</v>
      </c>
      <c r="F64">
        <v>46.67</v>
      </c>
      <c r="G64">
        <v>64.709999999999994</v>
      </c>
      <c r="H64">
        <v>2.2200000000000002</v>
      </c>
      <c r="I64">
        <v>33.33</v>
      </c>
      <c r="J64">
        <v>5.26</v>
      </c>
      <c r="K64">
        <v>0</v>
      </c>
    </row>
    <row r="65" spans="1:11">
      <c r="A65">
        <v>166</v>
      </c>
      <c r="B65">
        <v>189</v>
      </c>
      <c r="C65">
        <v>124</v>
      </c>
      <c r="D65">
        <v>189</v>
      </c>
      <c r="E65">
        <v>14.05</v>
      </c>
      <c r="F65">
        <v>28.07</v>
      </c>
      <c r="G65">
        <v>29.41</v>
      </c>
      <c r="H65">
        <v>24.44</v>
      </c>
      <c r="I65">
        <v>59.26</v>
      </c>
      <c r="J65">
        <v>1.75</v>
      </c>
      <c r="K65">
        <v>32.22</v>
      </c>
    </row>
    <row r="66" spans="1:11">
      <c r="A66">
        <v>132</v>
      </c>
      <c r="B66">
        <v>151</v>
      </c>
      <c r="C66">
        <v>125</v>
      </c>
      <c r="D66">
        <v>125</v>
      </c>
      <c r="E66">
        <v>18.37</v>
      </c>
      <c r="F66">
        <v>42.11</v>
      </c>
      <c r="G66">
        <v>23.53</v>
      </c>
      <c r="H66">
        <v>20.83</v>
      </c>
      <c r="I66">
        <v>25.93</v>
      </c>
      <c r="J66">
        <v>12.28</v>
      </c>
      <c r="K66">
        <v>40</v>
      </c>
    </row>
    <row r="67" spans="1:11">
      <c r="A67">
        <v>125</v>
      </c>
      <c r="B67">
        <v>116</v>
      </c>
      <c r="C67">
        <v>134</v>
      </c>
      <c r="D67">
        <v>152</v>
      </c>
      <c r="E67">
        <v>16.579999999999998</v>
      </c>
      <c r="F67">
        <v>15.79</v>
      </c>
      <c r="G67">
        <v>47.06</v>
      </c>
      <c r="H67">
        <v>24.44</v>
      </c>
      <c r="I67">
        <v>37.04</v>
      </c>
      <c r="J67">
        <v>-1.74</v>
      </c>
      <c r="K67">
        <v>80</v>
      </c>
    </row>
    <row r="68" spans="1:11">
      <c r="A68">
        <v>83</v>
      </c>
      <c r="B68">
        <v>62</v>
      </c>
      <c r="C68">
        <v>140</v>
      </c>
      <c r="D68">
        <v>60</v>
      </c>
      <c r="E68">
        <v>18.98</v>
      </c>
      <c r="F68">
        <v>60</v>
      </c>
      <c r="G68">
        <v>62.75</v>
      </c>
      <c r="H68">
        <v>11.11</v>
      </c>
      <c r="I68">
        <v>0</v>
      </c>
      <c r="J68">
        <v>0</v>
      </c>
      <c r="K68">
        <v>15.56</v>
      </c>
    </row>
    <row r="69" spans="1:11">
      <c r="A69">
        <v>129</v>
      </c>
      <c r="B69">
        <v>125</v>
      </c>
      <c r="C69">
        <v>142</v>
      </c>
      <c r="D69">
        <v>105</v>
      </c>
      <c r="E69">
        <v>20</v>
      </c>
      <c r="F69">
        <v>54.39</v>
      </c>
      <c r="G69">
        <v>37.25</v>
      </c>
      <c r="H69">
        <v>17.78</v>
      </c>
      <c r="I69">
        <v>18.52</v>
      </c>
      <c r="J69">
        <v>0</v>
      </c>
      <c r="K69">
        <v>6.67</v>
      </c>
    </row>
    <row r="70" spans="1:11">
      <c r="A70">
        <v>133</v>
      </c>
      <c r="B70">
        <v>113</v>
      </c>
      <c r="C70">
        <v>143</v>
      </c>
      <c r="D70">
        <v>115</v>
      </c>
      <c r="E70">
        <v>14.64</v>
      </c>
      <c r="F70">
        <v>45.61</v>
      </c>
      <c r="G70">
        <v>49.02</v>
      </c>
      <c r="H70">
        <v>12.5</v>
      </c>
      <c r="I70">
        <v>40.74</v>
      </c>
      <c r="J70">
        <v>0</v>
      </c>
      <c r="K70">
        <v>8.89</v>
      </c>
    </row>
    <row r="71" spans="1:11">
      <c r="A71">
        <v>122</v>
      </c>
      <c r="B71">
        <v>117</v>
      </c>
      <c r="C71">
        <v>145</v>
      </c>
      <c r="D71">
        <v>101</v>
      </c>
      <c r="E71">
        <v>17.91</v>
      </c>
      <c r="F71">
        <v>56.67</v>
      </c>
      <c r="G71">
        <v>37.25</v>
      </c>
      <c r="H71">
        <v>18.75</v>
      </c>
      <c r="I71">
        <v>11.11</v>
      </c>
      <c r="J71">
        <v>0</v>
      </c>
      <c r="K71">
        <v>28.89</v>
      </c>
    </row>
    <row r="72" spans="1:11">
      <c r="A72">
        <v>124</v>
      </c>
      <c r="B72">
        <v>107</v>
      </c>
      <c r="C72">
        <v>147</v>
      </c>
      <c r="D72">
        <v>117</v>
      </c>
      <c r="E72">
        <v>16.7</v>
      </c>
      <c r="F72">
        <v>36.840000000000003</v>
      </c>
      <c r="G72">
        <v>50.98</v>
      </c>
      <c r="H72">
        <v>15.56</v>
      </c>
      <c r="I72">
        <v>25.93</v>
      </c>
      <c r="J72">
        <v>0</v>
      </c>
      <c r="K72">
        <v>44.44</v>
      </c>
    </row>
    <row r="73" spans="1:11">
      <c r="A73">
        <v>91</v>
      </c>
      <c r="B73">
        <v>77</v>
      </c>
      <c r="C73">
        <v>150</v>
      </c>
      <c r="D73">
        <v>80</v>
      </c>
      <c r="E73">
        <v>15.62</v>
      </c>
      <c r="F73">
        <v>53.33</v>
      </c>
      <c r="G73">
        <v>64.709999999999994</v>
      </c>
      <c r="H73">
        <v>26.67</v>
      </c>
      <c r="I73">
        <v>0</v>
      </c>
      <c r="J73">
        <v>0</v>
      </c>
      <c r="K73">
        <v>0</v>
      </c>
    </row>
    <row r="74" spans="1:11">
      <c r="A74">
        <v>162</v>
      </c>
      <c r="B74">
        <v>185</v>
      </c>
      <c r="C74">
        <v>152</v>
      </c>
      <c r="D74">
        <v>155</v>
      </c>
      <c r="E74">
        <v>15.57</v>
      </c>
      <c r="F74">
        <v>45</v>
      </c>
      <c r="G74">
        <v>31.37</v>
      </c>
      <c r="H74">
        <v>28.89</v>
      </c>
      <c r="I74">
        <v>29.63</v>
      </c>
      <c r="J74">
        <v>0</v>
      </c>
      <c r="K74">
        <v>0</v>
      </c>
    </row>
    <row r="75" spans="1:11">
      <c r="A75">
        <v>126</v>
      </c>
      <c r="B75">
        <v>99</v>
      </c>
      <c r="C75">
        <v>153</v>
      </c>
      <c r="D75">
        <v>107</v>
      </c>
      <c r="E75">
        <v>20</v>
      </c>
      <c r="F75">
        <v>41.67</v>
      </c>
      <c r="G75">
        <v>52.94</v>
      </c>
      <c r="H75">
        <v>4.4400000000000004</v>
      </c>
      <c r="I75">
        <v>22.22</v>
      </c>
      <c r="J75">
        <v>0</v>
      </c>
      <c r="K75">
        <v>25.56</v>
      </c>
    </row>
    <row r="76" spans="1:11">
      <c r="A76">
        <v>198</v>
      </c>
      <c r="B76">
        <v>215</v>
      </c>
      <c r="C76">
        <v>154</v>
      </c>
      <c r="D76">
        <v>211</v>
      </c>
      <c r="E76">
        <v>16.63</v>
      </c>
      <c r="F76">
        <v>28.07</v>
      </c>
      <c r="G76">
        <v>29.41</v>
      </c>
      <c r="H76">
        <v>24.44</v>
      </c>
      <c r="I76">
        <v>44.44</v>
      </c>
      <c r="J76">
        <v>0</v>
      </c>
      <c r="K76">
        <v>21.11</v>
      </c>
    </row>
    <row r="77" spans="1:11">
      <c r="A77">
        <v>150</v>
      </c>
      <c r="B77">
        <v>150</v>
      </c>
      <c r="C77">
        <v>162</v>
      </c>
      <c r="D77">
        <v>166</v>
      </c>
      <c r="E77">
        <v>17.95</v>
      </c>
      <c r="F77">
        <v>29.82</v>
      </c>
      <c r="G77">
        <v>43.14</v>
      </c>
      <c r="H77">
        <v>29.17</v>
      </c>
      <c r="I77">
        <v>25.93</v>
      </c>
      <c r="J77">
        <v>0</v>
      </c>
      <c r="K77">
        <v>0</v>
      </c>
    </row>
    <row r="78" spans="1:11">
      <c r="A78">
        <v>186</v>
      </c>
      <c r="B78">
        <v>181</v>
      </c>
      <c r="C78">
        <v>164</v>
      </c>
      <c r="D78">
        <v>201</v>
      </c>
      <c r="E78">
        <v>17.48</v>
      </c>
      <c r="F78">
        <v>26.32</v>
      </c>
      <c r="G78">
        <v>39.22</v>
      </c>
      <c r="H78">
        <v>20</v>
      </c>
      <c r="I78">
        <v>44.44</v>
      </c>
      <c r="J78">
        <v>0</v>
      </c>
      <c r="K78">
        <v>0</v>
      </c>
    </row>
    <row r="79" spans="1:11">
      <c r="A79">
        <v>159</v>
      </c>
      <c r="B79">
        <v>143</v>
      </c>
      <c r="C79">
        <v>165</v>
      </c>
      <c r="D79">
        <v>144</v>
      </c>
      <c r="E79">
        <v>15.86</v>
      </c>
      <c r="F79">
        <v>43.33</v>
      </c>
      <c r="G79">
        <v>45.1</v>
      </c>
      <c r="H79">
        <v>13.33</v>
      </c>
      <c r="I79">
        <v>40.74</v>
      </c>
      <c r="J79">
        <v>-3.5</v>
      </c>
      <c r="K79">
        <v>11.11</v>
      </c>
    </row>
    <row r="80" spans="1:11">
      <c r="A80">
        <v>128</v>
      </c>
      <c r="B80">
        <v>102</v>
      </c>
      <c r="C80">
        <v>167</v>
      </c>
      <c r="D80">
        <v>134</v>
      </c>
      <c r="E80">
        <v>17.940000000000001</v>
      </c>
      <c r="F80">
        <v>28.07</v>
      </c>
      <c r="G80">
        <v>62.75</v>
      </c>
      <c r="H80">
        <v>17.78</v>
      </c>
      <c r="I80">
        <v>29.63</v>
      </c>
      <c r="J80">
        <v>-1.74</v>
      </c>
      <c r="K80">
        <v>13.33</v>
      </c>
    </row>
    <row r="81" spans="1:11">
      <c r="A81">
        <v>97</v>
      </c>
      <c r="B81">
        <v>79</v>
      </c>
      <c r="C81">
        <v>168</v>
      </c>
      <c r="D81">
        <v>82</v>
      </c>
      <c r="E81">
        <v>17.04</v>
      </c>
      <c r="F81">
        <v>51.67</v>
      </c>
      <c r="G81">
        <v>64.709999999999994</v>
      </c>
      <c r="H81">
        <v>17.78</v>
      </c>
      <c r="I81">
        <v>-7.4</v>
      </c>
      <c r="J81">
        <v>0</v>
      </c>
      <c r="K81">
        <v>26.67</v>
      </c>
    </row>
    <row r="82" spans="1:11">
      <c r="A82">
        <v>123</v>
      </c>
      <c r="B82">
        <v>170</v>
      </c>
      <c r="C82">
        <v>170</v>
      </c>
      <c r="D82">
        <v>108</v>
      </c>
      <c r="E82">
        <v>20</v>
      </c>
      <c r="F82">
        <v>40.35</v>
      </c>
      <c r="G82">
        <v>58.82</v>
      </c>
      <c r="H82">
        <v>8.89</v>
      </c>
      <c r="I82">
        <v>14.81</v>
      </c>
      <c r="J82">
        <v>0</v>
      </c>
      <c r="K82">
        <v>10</v>
      </c>
    </row>
    <row r="83" spans="1:11">
      <c r="A83">
        <v>137</v>
      </c>
      <c r="B83">
        <v>109</v>
      </c>
      <c r="C83">
        <v>176</v>
      </c>
      <c r="D83">
        <v>143</v>
      </c>
      <c r="E83">
        <v>19.78</v>
      </c>
      <c r="F83">
        <v>22.81</v>
      </c>
      <c r="G83">
        <v>58.82</v>
      </c>
      <c r="H83">
        <v>13.33</v>
      </c>
      <c r="I83">
        <v>25.93</v>
      </c>
      <c r="J83">
        <v>3.51</v>
      </c>
      <c r="K83">
        <v>6.67</v>
      </c>
    </row>
    <row r="84" spans="1:11">
      <c r="A84">
        <v>166</v>
      </c>
      <c r="B84">
        <v>128</v>
      </c>
      <c r="C84">
        <v>178</v>
      </c>
      <c r="D84">
        <v>141</v>
      </c>
      <c r="E84">
        <v>16.2</v>
      </c>
      <c r="F84">
        <v>38.6</v>
      </c>
      <c r="G84">
        <v>52.94</v>
      </c>
      <c r="H84">
        <v>4.4400000000000004</v>
      </c>
      <c r="I84">
        <v>40.74</v>
      </c>
      <c r="J84">
        <v>0</v>
      </c>
      <c r="K84">
        <v>3.33</v>
      </c>
    </row>
    <row r="85" spans="1:11">
      <c r="A85">
        <v>143</v>
      </c>
      <c r="B85">
        <v>140</v>
      </c>
      <c r="C85">
        <v>185</v>
      </c>
      <c r="D85">
        <v>180</v>
      </c>
      <c r="E85">
        <v>17.41</v>
      </c>
      <c r="F85">
        <v>22.81</v>
      </c>
      <c r="G85">
        <v>49.02</v>
      </c>
      <c r="H85">
        <v>33.33</v>
      </c>
      <c r="I85">
        <v>14.81</v>
      </c>
      <c r="J85">
        <v>0</v>
      </c>
      <c r="K85">
        <v>25.56</v>
      </c>
    </row>
    <row r="86" spans="1:11">
      <c r="A86">
        <v>171</v>
      </c>
      <c r="B86">
        <v>169</v>
      </c>
      <c r="C86">
        <v>187</v>
      </c>
      <c r="D86">
        <v>188</v>
      </c>
      <c r="E86">
        <v>16.55</v>
      </c>
      <c r="F86">
        <v>29.82</v>
      </c>
      <c r="G86">
        <v>39.22</v>
      </c>
      <c r="H86">
        <v>24.44</v>
      </c>
      <c r="I86">
        <v>22.22</v>
      </c>
      <c r="J86">
        <v>15.79</v>
      </c>
      <c r="K86">
        <v>0</v>
      </c>
    </row>
    <row r="87" spans="1:11">
      <c r="A87">
        <v>162</v>
      </c>
      <c r="B87">
        <v>126</v>
      </c>
      <c r="C87">
        <v>191</v>
      </c>
      <c r="D87">
        <v>140</v>
      </c>
      <c r="E87">
        <v>19.04</v>
      </c>
      <c r="F87">
        <v>42.11</v>
      </c>
      <c r="G87">
        <v>52.94</v>
      </c>
      <c r="H87">
        <v>4.4400000000000004</v>
      </c>
      <c r="I87">
        <v>29.63</v>
      </c>
      <c r="J87">
        <v>0</v>
      </c>
      <c r="K87">
        <v>0</v>
      </c>
    </row>
    <row r="88" spans="1:11">
      <c r="A88">
        <v>173</v>
      </c>
      <c r="B88">
        <v>153</v>
      </c>
      <c r="C88">
        <v>191</v>
      </c>
      <c r="D88">
        <v>149</v>
      </c>
      <c r="E88">
        <v>17.91</v>
      </c>
      <c r="F88">
        <v>42.11</v>
      </c>
      <c r="G88">
        <v>43.14</v>
      </c>
      <c r="H88">
        <v>13.33</v>
      </c>
      <c r="I88">
        <v>25.93</v>
      </c>
      <c r="J88">
        <v>0</v>
      </c>
      <c r="K88">
        <v>0</v>
      </c>
    </row>
    <row r="89" spans="1:11">
      <c r="A89">
        <v>190</v>
      </c>
      <c r="B89">
        <v>193</v>
      </c>
      <c r="C89">
        <v>192</v>
      </c>
      <c r="D89">
        <v>195</v>
      </c>
      <c r="E89">
        <v>18.29</v>
      </c>
      <c r="F89">
        <v>33.33</v>
      </c>
      <c r="G89">
        <v>35.29</v>
      </c>
      <c r="H89">
        <v>20</v>
      </c>
      <c r="I89">
        <v>25.93</v>
      </c>
      <c r="J89">
        <v>-5.25</v>
      </c>
      <c r="K89">
        <v>27.78</v>
      </c>
    </row>
    <row r="90" spans="1:11">
      <c r="A90">
        <v>200</v>
      </c>
      <c r="B90">
        <v>170</v>
      </c>
      <c r="C90">
        <v>194</v>
      </c>
      <c r="D90">
        <v>167</v>
      </c>
      <c r="E90">
        <v>15.58</v>
      </c>
      <c r="F90">
        <v>42.11</v>
      </c>
      <c r="G90">
        <v>41.18</v>
      </c>
      <c r="H90">
        <v>13.33</v>
      </c>
      <c r="I90">
        <v>33.33</v>
      </c>
      <c r="J90">
        <v>0</v>
      </c>
      <c r="K90">
        <v>0</v>
      </c>
    </row>
    <row r="91" spans="1:11">
      <c r="A91">
        <v>251</v>
      </c>
      <c r="B91">
        <v>268</v>
      </c>
      <c r="C91">
        <v>197</v>
      </c>
      <c r="D91">
        <v>233</v>
      </c>
      <c r="E91">
        <v>15.13</v>
      </c>
      <c r="F91">
        <v>40</v>
      </c>
      <c r="G91">
        <v>23.53</v>
      </c>
      <c r="H91">
        <v>22.92</v>
      </c>
      <c r="I91">
        <v>40.74</v>
      </c>
      <c r="J91">
        <v>0</v>
      </c>
      <c r="K91">
        <v>0</v>
      </c>
    </row>
    <row r="92" spans="1:11">
      <c r="A92">
        <v>204</v>
      </c>
      <c r="B92">
        <v>163</v>
      </c>
      <c r="C92">
        <v>198</v>
      </c>
      <c r="D92">
        <v>222</v>
      </c>
      <c r="E92">
        <v>15.48</v>
      </c>
      <c r="F92">
        <v>15.79</v>
      </c>
      <c r="G92">
        <v>49.02</v>
      </c>
      <c r="H92">
        <v>12.5</v>
      </c>
      <c r="I92">
        <v>44.44</v>
      </c>
      <c r="J92">
        <v>5.26</v>
      </c>
      <c r="K92">
        <v>24.44</v>
      </c>
    </row>
    <row r="93" spans="1:11">
      <c r="A93">
        <v>145</v>
      </c>
      <c r="B93">
        <v>154</v>
      </c>
      <c r="C93">
        <v>199</v>
      </c>
      <c r="D93">
        <v>199</v>
      </c>
      <c r="F93">
        <v>21.05</v>
      </c>
      <c r="G93">
        <v>49.02</v>
      </c>
      <c r="H93">
        <v>42.22</v>
      </c>
      <c r="I93">
        <v>11.11</v>
      </c>
      <c r="J93">
        <v>5.26</v>
      </c>
      <c r="K93">
        <v>42.22</v>
      </c>
    </row>
    <row r="94" spans="1:11">
      <c r="A94">
        <v>196</v>
      </c>
      <c r="B94">
        <v>172</v>
      </c>
      <c r="C94">
        <v>199</v>
      </c>
      <c r="D94">
        <v>148</v>
      </c>
      <c r="F94">
        <v>50</v>
      </c>
      <c r="G94">
        <v>37.25</v>
      </c>
      <c r="H94">
        <v>9.8000000000000007</v>
      </c>
      <c r="I94">
        <v>25.93</v>
      </c>
      <c r="J94">
        <v>-1.74</v>
      </c>
      <c r="K94">
        <v>0</v>
      </c>
    </row>
    <row r="95" spans="1:11">
      <c r="A95">
        <v>187</v>
      </c>
      <c r="B95">
        <v>178</v>
      </c>
      <c r="C95">
        <v>201</v>
      </c>
      <c r="D95">
        <v>189</v>
      </c>
      <c r="E95">
        <v>17.8</v>
      </c>
      <c r="F95">
        <v>33.33</v>
      </c>
      <c r="G95">
        <v>39.22</v>
      </c>
      <c r="H95">
        <v>17.78</v>
      </c>
      <c r="I95">
        <v>25.93</v>
      </c>
      <c r="J95">
        <v>0</v>
      </c>
      <c r="K95">
        <v>22.22</v>
      </c>
    </row>
    <row r="96" spans="1:11">
      <c r="A96">
        <v>242</v>
      </c>
      <c r="B96">
        <v>285</v>
      </c>
      <c r="C96">
        <v>205</v>
      </c>
      <c r="D96">
        <v>342</v>
      </c>
      <c r="E96">
        <v>16.079999999999998</v>
      </c>
      <c r="F96">
        <v>0</v>
      </c>
      <c r="G96">
        <v>21.57</v>
      </c>
      <c r="H96">
        <v>31.42</v>
      </c>
      <c r="I96">
        <v>29.43</v>
      </c>
      <c r="J96">
        <v>31.58</v>
      </c>
      <c r="K96">
        <v>41.11</v>
      </c>
    </row>
    <row r="97" spans="1:11">
      <c r="A97">
        <v>361</v>
      </c>
      <c r="B97">
        <v>499</v>
      </c>
      <c r="C97">
        <v>207</v>
      </c>
      <c r="D97">
        <v>496</v>
      </c>
      <c r="E97">
        <v>19.559999999999999</v>
      </c>
      <c r="F97">
        <v>0</v>
      </c>
      <c r="G97">
        <v>0</v>
      </c>
      <c r="H97">
        <v>31.25</v>
      </c>
      <c r="I97">
        <v>55.56</v>
      </c>
      <c r="J97">
        <v>3.51</v>
      </c>
      <c r="K97">
        <v>50</v>
      </c>
    </row>
    <row r="98" spans="1:11">
      <c r="A98">
        <v>316</v>
      </c>
      <c r="B98">
        <v>314</v>
      </c>
      <c r="C98">
        <v>212</v>
      </c>
      <c r="D98">
        <v>311</v>
      </c>
      <c r="E98">
        <v>15.52</v>
      </c>
      <c r="F98">
        <v>24.56</v>
      </c>
      <c r="G98">
        <v>21.57</v>
      </c>
      <c r="H98">
        <v>13.33</v>
      </c>
      <c r="I98">
        <v>55.56</v>
      </c>
      <c r="J98">
        <v>12.28</v>
      </c>
      <c r="K98">
        <v>0</v>
      </c>
    </row>
    <row r="99" spans="1:11">
      <c r="A99">
        <v>209</v>
      </c>
      <c r="B99">
        <v>175</v>
      </c>
      <c r="C99">
        <v>214</v>
      </c>
      <c r="D99">
        <v>196</v>
      </c>
      <c r="E99">
        <v>20</v>
      </c>
      <c r="F99">
        <v>31.58</v>
      </c>
      <c r="G99">
        <v>43.14</v>
      </c>
      <c r="H99">
        <v>8.89</v>
      </c>
      <c r="I99">
        <v>29.63</v>
      </c>
      <c r="J99">
        <v>0</v>
      </c>
      <c r="K99">
        <v>0</v>
      </c>
    </row>
    <row r="100" spans="1:11">
      <c r="A100">
        <v>243</v>
      </c>
      <c r="B100">
        <v>239</v>
      </c>
      <c r="C100">
        <v>217</v>
      </c>
      <c r="D100">
        <v>229</v>
      </c>
      <c r="F100">
        <v>35.090000000000003</v>
      </c>
      <c r="G100">
        <v>33.33</v>
      </c>
      <c r="H100">
        <v>20</v>
      </c>
      <c r="I100">
        <v>33.33</v>
      </c>
      <c r="J100">
        <v>0</v>
      </c>
      <c r="K100">
        <v>8.89</v>
      </c>
    </row>
    <row r="101" spans="1:11">
      <c r="A101">
        <v>155</v>
      </c>
      <c r="B101">
        <v>129</v>
      </c>
      <c r="C101">
        <v>218</v>
      </c>
      <c r="D101">
        <v>128</v>
      </c>
      <c r="E101">
        <v>18.03</v>
      </c>
      <c r="F101">
        <v>49.12</v>
      </c>
      <c r="G101">
        <v>50.98</v>
      </c>
      <c r="H101">
        <v>11.11</v>
      </c>
      <c r="I101">
        <v>7.41</v>
      </c>
      <c r="J101">
        <v>-1.74</v>
      </c>
      <c r="K101">
        <v>28.89</v>
      </c>
    </row>
    <row r="102" spans="1:11">
      <c r="A102">
        <v>159</v>
      </c>
      <c r="B102">
        <v>133</v>
      </c>
      <c r="C102">
        <v>223</v>
      </c>
      <c r="D102">
        <v>147</v>
      </c>
      <c r="E102">
        <v>15.86</v>
      </c>
      <c r="F102">
        <v>41.67</v>
      </c>
      <c r="G102">
        <v>54.9</v>
      </c>
      <c r="H102">
        <v>20</v>
      </c>
      <c r="I102">
        <v>11.11</v>
      </c>
      <c r="J102">
        <v>0</v>
      </c>
      <c r="K102">
        <v>0</v>
      </c>
    </row>
    <row r="103" spans="1:11">
      <c r="A103">
        <v>269</v>
      </c>
      <c r="B103">
        <v>238</v>
      </c>
      <c r="C103">
        <v>228</v>
      </c>
      <c r="D103">
        <v>220</v>
      </c>
      <c r="E103">
        <v>18.36</v>
      </c>
      <c r="F103">
        <v>38.33</v>
      </c>
      <c r="G103">
        <v>33.33</v>
      </c>
      <c r="H103">
        <v>2.2200000000000002</v>
      </c>
      <c r="I103">
        <v>40.74</v>
      </c>
      <c r="J103">
        <v>0</v>
      </c>
      <c r="K103">
        <v>0</v>
      </c>
    </row>
    <row r="104" spans="1:11">
      <c r="A104">
        <v>226</v>
      </c>
      <c r="B104">
        <v>238</v>
      </c>
      <c r="C104">
        <v>229</v>
      </c>
      <c r="D104">
        <v>231</v>
      </c>
      <c r="E104">
        <v>15.24</v>
      </c>
      <c r="F104">
        <v>35</v>
      </c>
      <c r="G104">
        <v>33.33</v>
      </c>
      <c r="H104">
        <v>24.44</v>
      </c>
      <c r="I104">
        <v>22.22</v>
      </c>
      <c r="J104">
        <v>10.53</v>
      </c>
      <c r="K104">
        <v>22.22</v>
      </c>
    </row>
    <row r="105" spans="1:11">
      <c r="A105">
        <v>224</v>
      </c>
      <c r="B105">
        <v>194</v>
      </c>
      <c r="C105">
        <v>231</v>
      </c>
      <c r="D105">
        <v>232</v>
      </c>
      <c r="E105">
        <v>16.899999999999999</v>
      </c>
      <c r="F105">
        <v>28.07</v>
      </c>
      <c r="G105">
        <v>45.1</v>
      </c>
      <c r="H105">
        <v>17.78</v>
      </c>
      <c r="I105">
        <v>33.33</v>
      </c>
      <c r="J105">
        <v>0</v>
      </c>
      <c r="K105">
        <v>11.11</v>
      </c>
    </row>
    <row r="106" spans="1:11">
      <c r="A106">
        <v>214</v>
      </c>
      <c r="B106">
        <v>211</v>
      </c>
      <c r="C106">
        <v>235</v>
      </c>
      <c r="D106">
        <v>192</v>
      </c>
      <c r="E106">
        <v>15.97</v>
      </c>
      <c r="F106">
        <v>45.61</v>
      </c>
      <c r="G106">
        <v>37.25</v>
      </c>
      <c r="H106">
        <v>22.22</v>
      </c>
      <c r="I106">
        <v>14.81</v>
      </c>
      <c r="J106">
        <v>-1.74</v>
      </c>
      <c r="K106">
        <v>4.4400000000000004</v>
      </c>
    </row>
    <row r="107" spans="1:11">
      <c r="A107">
        <v>302</v>
      </c>
      <c r="B107">
        <v>328</v>
      </c>
      <c r="C107">
        <v>236</v>
      </c>
      <c r="D107">
        <v>273</v>
      </c>
      <c r="E107">
        <v>13.28</v>
      </c>
      <c r="F107">
        <v>43.86</v>
      </c>
      <c r="G107">
        <v>19.61</v>
      </c>
      <c r="H107">
        <v>22.92</v>
      </c>
      <c r="I107">
        <v>37.04</v>
      </c>
      <c r="J107">
        <v>-3.5</v>
      </c>
      <c r="K107">
        <v>13.33</v>
      </c>
    </row>
    <row r="108" spans="1:11">
      <c r="A108">
        <v>184</v>
      </c>
      <c r="B108">
        <v>183</v>
      </c>
      <c r="C108">
        <v>238</v>
      </c>
      <c r="D108">
        <v>193</v>
      </c>
      <c r="E108">
        <v>15.33</v>
      </c>
      <c r="F108">
        <v>33.33</v>
      </c>
      <c r="G108">
        <v>39.22</v>
      </c>
      <c r="H108">
        <v>22.22</v>
      </c>
      <c r="I108">
        <v>3.7</v>
      </c>
      <c r="J108">
        <v>15.79</v>
      </c>
      <c r="K108">
        <v>48.89</v>
      </c>
    </row>
    <row r="109" spans="1:11">
      <c r="A109">
        <v>205</v>
      </c>
      <c r="B109">
        <v>155</v>
      </c>
      <c r="C109">
        <v>239</v>
      </c>
      <c r="D109">
        <v>144</v>
      </c>
      <c r="E109">
        <v>15.53</v>
      </c>
      <c r="F109">
        <v>51.67</v>
      </c>
      <c r="G109">
        <v>49.02</v>
      </c>
      <c r="H109">
        <v>4.4400000000000004</v>
      </c>
      <c r="I109">
        <v>22.22</v>
      </c>
      <c r="J109">
        <v>0</v>
      </c>
      <c r="K109">
        <v>0</v>
      </c>
    </row>
    <row r="110" spans="1:11">
      <c r="A110">
        <v>237</v>
      </c>
      <c r="B110">
        <v>232</v>
      </c>
      <c r="C110">
        <v>247</v>
      </c>
      <c r="D110">
        <v>203</v>
      </c>
      <c r="E110">
        <v>15.5</v>
      </c>
      <c r="F110">
        <v>45.61</v>
      </c>
      <c r="G110">
        <v>33.33</v>
      </c>
      <c r="H110">
        <v>18.75</v>
      </c>
      <c r="I110">
        <v>18.52</v>
      </c>
      <c r="J110">
        <v>0</v>
      </c>
      <c r="K110">
        <v>15.56</v>
      </c>
    </row>
    <row r="111" spans="1:11">
      <c r="A111">
        <v>253</v>
      </c>
      <c r="B111">
        <v>179</v>
      </c>
      <c r="C111">
        <v>247</v>
      </c>
      <c r="D111">
        <v>199</v>
      </c>
      <c r="E111">
        <v>16.54</v>
      </c>
      <c r="F111">
        <v>36.840000000000003</v>
      </c>
      <c r="G111">
        <v>50.98</v>
      </c>
      <c r="H111">
        <v>0</v>
      </c>
      <c r="I111">
        <v>40.74</v>
      </c>
      <c r="J111">
        <v>0</v>
      </c>
      <c r="K111">
        <v>3.33</v>
      </c>
    </row>
    <row r="112" spans="1:11">
      <c r="A112">
        <v>220</v>
      </c>
      <c r="B112">
        <v>196</v>
      </c>
      <c r="C112">
        <v>248</v>
      </c>
      <c r="D112">
        <v>202</v>
      </c>
      <c r="E112">
        <v>17.18</v>
      </c>
      <c r="F112">
        <v>36.840000000000003</v>
      </c>
      <c r="G112">
        <v>43.14</v>
      </c>
      <c r="H112">
        <v>18.75</v>
      </c>
      <c r="I112">
        <v>18.52</v>
      </c>
      <c r="J112">
        <v>0</v>
      </c>
      <c r="K112">
        <v>0</v>
      </c>
    </row>
    <row r="113" spans="1:11">
      <c r="A113">
        <v>181</v>
      </c>
      <c r="B113">
        <v>139</v>
      </c>
      <c r="C113">
        <v>251</v>
      </c>
      <c r="D113">
        <v>157</v>
      </c>
      <c r="E113">
        <v>18.52</v>
      </c>
      <c r="F113">
        <v>36.840000000000003</v>
      </c>
      <c r="G113">
        <v>52.94</v>
      </c>
      <c r="H113">
        <v>6.67</v>
      </c>
      <c r="I113">
        <v>11.11</v>
      </c>
      <c r="J113">
        <v>0</v>
      </c>
      <c r="K113">
        <v>32.22</v>
      </c>
    </row>
    <row r="114" spans="1:11">
      <c r="A114">
        <v>236</v>
      </c>
      <c r="B114">
        <v>224</v>
      </c>
      <c r="C114">
        <v>255</v>
      </c>
      <c r="D114">
        <v>229</v>
      </c>
      <c r="E114">
        <v>15.99</v>
      </c>
      <c r="F114">
        <v>33.33</v>
      </c>
      <c r="G114">
        <v>41.18</v>
      </c>
      <c r="H114">
        <v>22.92</v>
      </c>
      <c r="I114">
        <v>22.22</v>
      </c>
      <c r="J114">
        <v>0</v>
      </c>
      <c r="K114">
        <v>0</v>
      </c>
    </row>
    <row r="115" spans="1:11">
      <c r="A115">
        <v>291</v>
      </c>
      <c r="B115">
        <v>306</v>
      </c>
      <c r="C115">
        <v>255</v>
      </c>
      <c r="D115">
        <v>349</v>
      </c>
      <c r="E115">
        <v>18.059999999999999</v>
      </c>
      <c r="F115">
        <v>12.28</v>
      </c>
      <c r="G115">
        <v>29.41</v>
      </c>
      <c r="H115">
        <v>22.22</v>
      </c>
      <c r="I115">
        <v>33.33</v>
      </c>
      <c r="J115">
        <v>10.53</v>
      </c>
      <c r="K115">
        <v>34.44</v>
      </c>
    </row>
    <row r="116" spans="1:11">
      <c r="A116">
        <v>195</v>
      </c>
      <c r="B116">
        <v>214</v>
      </c>
      <c r="C116">
        <v>257</v>
      </c>
      <c r="D116">
        <v>199</v>
      </c>
      <c r="E116">
        <v>16.920000000000002</v>
      </c>
      <c r="F116">
        <v>40.35</v>
      </c>
      <c r="G116">
        <v>37.25</v>
      </c>
      <c r="H116">
        <v>33.33</v>
      </c>
      <c r="I116">
        <v>-3.69</v>
      </c>
      <c r="J116">
        <v>5.26</v>
      </c>
      <c r="K116">
        <v>0</v>
      </c>
    </row>
    <row r="117" spans="1:11">
      <c r="A117">
        <v>360</v>
      </c>
      <c r="B117">
        <v>351</v>
      </c>
      <c r="C117">
        <v>273</v>
      </c>
      <c r="D117">
        <v>279</v>
      </c>
      <c r="E117">
        <v>18.21</v>
      </c>
      <c r="F117">
        <v>45</v>
      </c>
      <c r="G117">
        <v>14.81</v>
      </c>
      <c r="H117">
        <v>-4.43</v>
      </c>
      <c r="I117">
        <v>40.74</v>
      </c>
      <c r="J117">
        <v>0</v>
      </c>
      <c r="K117">
        <v>28.89</v>
      </c>
    </row>
    <row r="118" spans="1:11">
      <c r="A118">
        <v>308</v>
      </c>
      <c r="B118">
        <v>327</v>
      </c>
      <c r="C118">
        <v>276</v>
      </c>
      <c r="D118">
        <v>364</v>
      </c>
      <c r="E118">
        <v>16.77</v>
      </c>
      <c r="F118">
        <v>19.3</v>
      </c>
      <c r="G118">
        <v>29.41</v>
      </c>
      <c r="H118">
        <v>28.89</v>
      </c>
      <c r="I118">
        <v>33.33</v>
      </c>
      <c r="J118">
        <v>0</v>
      </c>
      <c r="K118">
        <v>17.78</v>
      </c>
    </row>
    <row r="119" spans="1:11">
      <c r="A119">
        <v>286</v>
      </c>
      <c r="B119">
        <v>265</v>
      </c>
      <c r="C119">
        <v>278</v>
      </c>
      <c r="D119">
        <v>268</v>
      </c>
      <c r="E119">
        <v>14.29</v>
      </c>
      <c r="F119">
        <v>36.67</v>
      </c>
      <c r="G119">
        <v>35.29</v>
      </c>
      <c r="H119">
        <v>20</v>
      </c>
      <c r="I119">
        <v>29.63</v>
      </c>
      <c r="J119">
        <v>0</v>
      </c>
      <c r="K119">
        <v>0</v>
      </c>
    </row>
    <row r="120" spans="1:11">
      <c r="A120">
        <v>180</v>
      </c>
      <c r="B120">
        <v>125</v>
      </c>
      <c r="C120">
        <v>281</v>
      </c>
      <c r="D120">
        <v>169</v>
      </c>
      <c r="E120">
        <v>16.079999999999998</v>
      </c>
      <c r="F120">
        <v>31.67</v>
      </c>
      <c r="G120">
        <v>64.709999999999994</v>
      </c>
      <c r="H120">
        <v>8.89</v>
      </c>
      <c r="I120">
        <v>11.11</v>
      </c>
      <c r="J120">
        <v>0</v>
      </c>
      <c r="K120">
        <v>31.11</v>
      </c>
    </row>
    <row r="121" spans="1:11">
      <c r="A121">
        <v>203</v>
      </c>
      <c r="B121">
        <v>191</v>
      </c>
      <c r="C121">
        <v>285</v>
      </c>
      <c r="D121">
        <v>218</v>
      </c>
      <c r="E121">
        <v>19.420000000000002</v>
      </c>
      <c r="F121">
        <v>29.82</v>
      </c>
      <c r="G121">
        <v>47.06</v>
      </c>
      <c r="H121">
        <v>26.67</v>
      </c>
      <c r="I121">
        <v>0</v>
      </c>
      <c r="J121">
        <v>0</v>
      </c>
      <c r="K121">
        <v>0</v>
      </c>
    </row>
    <row r="122" spans="1:11">
      <c r="A122">
        <v>271</v>
      </c>
      <c r="B122">
        <v>229</v>
      </c>
      <c r="C122">
        <v>286</v>
      </c>
      <c r="D122">
        <v>289</v>
      </c>
      <c r="E122">
        <v>18.77</v>
      </c>
      <c r="F122">
        <v>17.54</v>
      </c>
      <c r="G122">
        <v>47.06</v>
      </c>
      <c r="H122">
        <v>11.11</v>
      </c>
      <c r="I122">
        <v>33.33</v>
      </c>
      <c r="J122">
        <v>-1.74</v>
      </c>
      <c r="K122">
        <v>3.33</v>
      </c>
    </row>
    <row r="123" spans="1:11">
      <c r="A123">
        <v>283</v>
      </c>
      <c r="B123">
        <v>302</v>
      </c>
      <c r="C123">
        <v>289</v>
      </c>
      <c r="D123">
        <v>281</v>
      </c>
      <c r="E123">
        <v>18.48</v>
      </c>
      <c r="F123">
        <v>35</v>
      </c>
      <c r="G123">
        <v>21.57</v>
      </c>
      <c r="H123">
        <v>24.44</v>
      </c>
      <c r="I123">
        <v>7.41</v>
      </c>
      <c r="J123">
        <v>3.51</v>
      </c>
      <c r="K123">
        <v>31.11</v>
      </c>
    </row>
    <row r="124" spans="1:11">
      <c r="A124">
        <v>312</v>
      </c>
      <c r="B124">
        <v>349</v>
      </c>
      <c r="C124">
        <v>291</v>
      </c>
      <c r="D124">
        <v>343</v>
      </c>
      <c r="E124">
        <v>17.95</v>
      </c>
      <c r="F124">
        <v>24.56</v>
      </c>
      <c r="G124">
        <v>23.53</v>
      </c>
      <c r="H124">
        <v>31.11</v>
      </c>
      <c r="I124">
        <v>22.22</v>
      </c>
      <c r="J124">
        <v>-1.74</v>
      </c>
      <c r="K124">
        <v>3.33</v>
      </c>
    </row>
    <row r="125" spans="1:11">
      <c r="A125">
        <v>259</v>
      </c>
      <c r="B125">
        <v>261</v>
      </c>
      <c r="C125">
        <v>293</v>
      </c>
      <c r="D125">
        <v>255</v>
      </c>
      <c r="E125">
        <v>15.7</v>
      </c>
      <c r="F125">
        <v>38.6</v>
      </c>
      <c r="G125">
        <v>33.33</v>
      </c>
      <c r="H125">
        <v>26.67</v>
      </c>
      <c r="I125">
        <v>11.11</v>
      </c>
      <c r="J125">
        <v>0</v>
      </c>
      <c r="K125">
        <v>11.11</v>
      </c>
    </row>
    <row r="126" spans="1:11">
      <c r="A126">
        <v>300</v>
      </c>
      <c r="B126">
        <v>321</v>
      </c>
      <c r="C126">
        <v>300</v>
      </c>
      <c r="D126">
        <v>276</v>
      </c>
      <c r="E126">
        <v>17.170000000000002</v>
      </c>
      <c r="F126">
        <v>41.67</v>
      </c>
      <c r="G126">
        <v>19.61</v>
      </c>
      <c r="H126">
        <v>22.22</v>
      </c>
      <c r="I126">
        <v>11.11</v>
      </c>
      <c r="J126">
        <v>0</v>
      </c>
      <c r="K126">
        <v>32.22</v>
      </c>
    </row>
    <row r="127" spans="1:11">
      <c r="A127">
        <v>248</v>
      </c>
      <c r="B127">
        <v>253</v>
      </c>
      <c r="C127">
        <v>307</v>
      </c>
      <c r="D127">
        <v>271</v>
      </c>
      <c r="E127">
        <v>17.329999999999998</v>
      </c>
      <c r="F127">
        <v>29.82</v>
      </c>
      <c r="G127">
        <v>37.25</v>
      </c>
      <c r="H127">
        <v>31.11</v>
      </c>
      <c r="I127">
        <v>7.41</v>
      </c>
      <c r="J127">
        <v>0</v>
      </c>
      <c r="K127">
        <v>3.33</v>
      </c>
    </row>
    <row r="128" spans="1:11">
      <c r="A128">
        <v>238</v>
      </c>
      <c r="B128">
        <v>221</v>
      </c>
      <c r="C128">
        <v>310</v>
      </c>
      <c r="D128">
        <v>183</v>
      </c>
      <c r="E128">
        <v>19.05</v>
      </c>
      <c r="F128">
        <v>50</v>
      </c>
      <c r="G128">
        <v>37.25</v>
      </c>
      <c r="H128">
        <v>13.33</v>
      </c>
      <c r="I128">
        <v>-3.69</v>
      </c>
      <c r="J128">
        <v>5.26</v>
      </c>
      <c r="K128">
        <v>11.11</v>
      </c>
    </row>
    <row r="129" spans="1:11">
      <c r="A129">
        <v>288</v>
      </c>
      <c r="B129">
        <v>234</v>
      </c>
      <c r="C129">
        <v>310</v>
      </c>
      <c r="D129">
        <v>249</v>
      </c>
      <c r="E129">
        <v>18.989999999999998</v>
      </c>
      <c r="F129">
        <v>33.33</v>
      </c>
      <c r="G129">
        <v>41.18</v>
      </c>
      <c r="H129">
        <v>4.4400000000000004</v>
      </c>
      <c r="I129">
        <v>25.93</v>
      </c>
      <c r="J129">
        <v>0</v>
      </c>
      <c r="K129">
        <v>0</v>
      </c>
    </row>
    <row r="130" spans="1:11">
      <c r="A130">
        <v>315</v>
      </c>
      <c r="B130">
        <v>309</v>
      </c>
      <c r="C130">
        <v>311</v>
      </c>
      <c r="D130">
        <v>399</v>
      </c>
      <c r="E130">
        <v>19.14</v>
      </c>
      <c r="F130">
        <v>5.26</v>
      </c>
      <c r="G130">
        <v>37.25</v>
      </c>
      <c r="H130">
        <v>24.44</v>
      </c>
      <c r="I130">
        <v>29.63</v>
      </c>
      <c r="J130">
        <v>0</v>
      </c>
      <c r="K130">
        <v>35.56</v>
      </c>
    </row>
    <row r="131" spans="1:11">
      <c r="A131">
        <v>290</v>
      </c>
      <c r="B131">
        <v>236</v>
      </c>
      <c r="C131">
        <v>329</v>
      </c>
      <c r="D131">
        <v>316</v>
      </c>
      <c r="E131">
        <v>16.05</v>
      </c>
      <c r="F131">
        <v>10</v>
      </c>
      <c r="G131">
        <v>47.06</v>
      </c>
      <c r="H131">
        <v>11.11</v>
      </c>
      <c r="I131">
        <v>25.93</v>
      </c>
      <c r="J131">
        <v>21.05</v>
      </c>
      <c r="K131">
        <v>18.89</v>
      </c>
    </row>
    <row r="132" spans="1:11">
      <c r="A132">
        <v>344</v>
      </c>
      <c r="B132">
        <v>463</v>
      </c>
      <c r="C132">
        <v>332</v>
      </c>
      <c r="D132">
        <v>301</v>
      </c>
      <c r="E132">
        <v>20</v>
      </c>
      <c r="F132">
        <v>54.39</v>
      </c>
      <c r="G132">
        <v>0</v>
      </c>
      <c r="H132">
        <v>26.67</v>
      </c>
      <c r="I132">
        <v>0</v>
      </c>
      <c r="J132">
        <v>0</v>
      </c>
      <c r="K132">
        <v>0</v>
      </c>
    </row>
    <row r="133" spans="1:11">
      <c r="A133">
        <v>209</v>
      </c>
      <c r="B133">
        <v>167</v>
      </c>
      <c r="C133">
        <v>339</v>
      </c>
      <c r="D133">
        <v>246</v>
      </c>
      <c r="E133">
        <v>14.21</v>
      </c>
      <c r="F133">
        <v>19.3</v>
      </c>
      <c r="G133">
        <v>58.82</v>
      </c>
      <c r="H133">
        <v>26.67</v>
      </c>
      <c r="I133">
        <v>-3.69</v>
      </c>
      <c r="J133">
        <v>0</v>
      </c>
      <c r="K133">
        <v>70</v>
      </c>
    </row>
    <row r="134" spans="1:11">
      <c r="A134">
        <v>435</v>
      </c>
      <c r="B134">
        <v>555</v>
      </c>
      <c r="C134">
        <v>341</v>
      </c>
      <c r="D134">
        <v>481</v>
      </c>
      <c r="F134">
        <v>24.56</v>
      </c>
      <c r="G134">
        <v>5.88</v>
      </c>
      <c r="H134">
        <v>27.08</v>
      </c>
      <c r="I134">
        <v>29.63</v>
      </c>
      <c r="J134">
        <v>0</v>
      </c>
      <c r="K134">
        <v>13.33</v>
      </c>
    </row>
    <row r="135" spans="1:11">
      <c r="A135">
        <v>312</v>
      </c>
      <c r="B135">
        <v>267</v>
      </c>
      <c r="C135">
        <v>343</v>
      </c>
      <c r="D135">
        <v>300</v>
      </c>
      <c r="E135">
        <v>16.989999999999998</v>
      </c>
      <c r="F135">
        <v>28.33</v>
      </c>
      <c r="G135">
        <v>41.18</v>
      </c>
      <c r="H135">
        <v>14.58</v>
      </c>
      <c r="I135">
        <v>22.22</v>
      </c>
      <c r="J135">
        <v>0</v>
      </c>
      <c r="K135">
        <v>0</v>
      </c>
    </row>
    <row r="136" spans="1:11">
      <c r="A136">
        <v>373</v>
      </c>
      <c r="B136">
        <v>378</v>
      </c>
      <c r="C136">
        <v>345</v>
      </c>
      <c r="D136">
        <v>369</v>
      </c>
      <c r="E136">
        <v>14.4</v>
      </c>
      <c r="F136">
        <v>28.07</v>
      </c>
      <c r="G136">
        <v>25.49</v>
      </c>
      <c r="H136">
        <v>20</v>
      </c>
      <c r="I136">
        <v>29.63</v>
      </c>
      <c r="J136">
        <v>0</v>
      </c>
      <c r="K136">
        <v>27.78</v>
      </c>
    </row>
    <row r="137" spans="1:11">
      <c r="A137">
        <v>321</v>
      </c>
      <c r="B137">
        <v>322</v>
      </c>
      <c r="C137">
        <v>347</v>
      </c>
      <c r="D137">
        <v>264</v>
      </c>
      <c r="E137">
        <v>20</v>
      </c>
      <c r="F137">
        <v>49.12</v>
      </c>
      <c r="G137">
        <v>21.57</v>
      </c>
      <c r="H137">
        <v>13.33</v>
      </c>
      <c r="I137">
        <v>3.7</v>
      </c>
      <c r="J137">
        <v>0</v>
      </c>
      <c r="K137">
        <v>0</v>
      </c>
    </row>
    <row r="138" spans="1:11">
      <c r="A138">
        <v>381</v>
      </c>
      <c r="B138">
        <v>311</v>
      </c>
      <c r="C138">
        <v>358</v>
      </c>
      <c r="D138">
        <v>327</v>
      </c>
      <c r="E138">
        <v>15.84</v>
      </c>
      <c r="F138">
        <v>29.82</v>
      </c>
      <c r="G138">
        <v>37.25</v>
      </c>
      <c r="H138">
        <v>2.2200000000000002</v>
      </c>
      <c r="I138">
        <v>40.74</v>
      </c>
      <c r="J138">
        <v>0</v>
      </c>
      <c r="K138">
        <v>0</v>
      </c>
    </row>
    <row r="139" spans="1:11">
      <c r="A139">
        <v>278</v>
      </c>
      <c r="B139">
        <v>237</v>
      </c>
      <c r="C139">
        <v>360</v>
      </c>
      <c r="D139">
        <v>265</v>
      </c>
      <c r="E139">
        <v>19.18</v>
      </c>
      <c r="F139">
        <v>31.58</v>
      </c>
      <c r="G139">
        <v>45.1</v>
      </c>
      <c r="H139">
        <v>13.33</v>
      </c>
      <c r="I139">
        <v>7.41</v>
      </c>
      <c r="J139">
        <v>0</v>
      </c>
      <c r="K139">
        <v>0</v>
      </c>
    </row>
    <row r="140" spans="1:11">
      <c r="A140">
        <v>268</v>
      </c>
      <c r="B140">
        <v>227</v>
      </c>
      <c r="C140">
        <v>365</v>
      </c>
      <c r="D140">
        <v>253</v>
      </c>
      <c r="E140">
        <v>15.44</v>
      </c>
      <c r="F140">
        <v>31.58</v>
      </c>
      <c r="G140">
        <v>45.1</v>
      </c>
      <c r="H140">
        <v>11.11</v>
      </c>
      <c r="I140">
        <v>3.7</v>
      </c>
      <c r="J140">
        <v>0</v>
      </c>
      <c r="K140">
        <v>75.56</v>
      </c>
    </row>
    <row r="141" spans="1:11">
      <c r="A141">
        <v>450</v>
      </c>
      <c r="B141">
        <v>477</v>
      </c>
      <c r="C141">
        <v>369</v>
      </c>
      <c r="D141">
        <v>478</v>
      </c>
      <c r="E141">
        <v>20</v>
      </c>
      <c r="F141">
        <v>15.79</v>
      </c>
      <c r="G141">
        <v>13.73</v>
      </c>
      <c r="H141">
        <v>11.11</v>
      </c>
      <c r="I141">
        <v>33.33</v>
      </c>
      <c r="J141">
        <v>8.77</v>
      </c>
      <c r="K141">
        <v>18.89</v>
      </c>
    </row>
    <row r="142" spans="1:11">
      <c r="A142">
        <v>357</v>
      </c>
      <c r="B142">
        <v>342</v>
      </c>
      <c r="C142">
        <v>375</v>
      </c>
      <c r="D142">
        <v>339</v>
      </c>
      <c r="E142">
        <v>16.739999999999998</v>
      </c>
      <c r="F142">
        <v>31.58</v>
      </c>
      <c r="G142">
        <v>31.37</v>
      </c>
      <c r="H142">
        <v>15.56</v>
      </c>
      <c r="I142">
        <v>22.22</v>
      </c>
      <c r="J142">
        <v>0</v>
      </c>
      <c r="K142">
        <v>0</v>
      </c>
    </row>
    <row r="143" spans="1:11">
      <c r="A143">
        <v>320</v>
      </c>
      <c r="B143">
        <v>295</v>
      </c>
      <c r="C143">
        <v>376</v>
      </c>
      <c r="D143">
        <v>300</v>
      </c>
      <c r="F143">
        <v>38.6</v>
      </c>
      <c r="G143">
        <v>39.22</v>
      </c>
      <c r="H143">
        <v>20</v>
      </c>
      <c r="I143">
        <v>14.81</v>
      </c>
      <c r="J143">
        <v>0</v>
      </c>
      <c r="K143">
        <v>0</v>
      </c>
    </row>
    <row r="144" spans="1:11">
      <c r="A144">
        <v>415</v>
      </c>
      <c r="B144">
        <v>416</v>
      </c>
      <c r="C144">
        <v>376</v>
      </c>
      <c r="D144">
        <v>318</v>
      </c>
      <c r="E144">
        <v>16.46</v>
      </c>
      <c r="F144">
        <v>51.67</v>
      </c>
      <c r="G144">
        <v>15.69</v>
      </c>
      <c r="H144">
        <v>4.4400000000000004</v>
      </c>
      <c r="I144">
        <v>25.93</v>
      </c>
      <c r="J144">
        <v>0</v>
      </c>
      <c r="K144">
        <v>0</v>
      </c>
    </row>
    <row r="145" spans="1:11">
      <c r="A145">
        <v>386</v>
      </c>
      <c r="B145">
        <v>444</v>
      </c>
      <c r="C145">
        <v>377</v>
      </c>
      <c r="D145">
        <v>421</v>
      </c>
      <c r="E145">
        <v>16.03</v>
      </c>
      <c r="F145">
        <v>21.05</v>
      </c>
      <c r="G145">
        <v>11.76</v>
      </c>
      <c r="H145">
        <v>24.44</v>
      </c>
      <c r="I145">
        <v>7.41</v>
      </c>
      <c r="J145">
        <v>14.04</v>
      </c>
      <c r="K145">
        <v>78.89</v>
      </c>
    </row>
    <row r="146" spans="1:11">
      <c r="A146">
        <v>529</v>
      </c>
      <c r="B146">
        <v>596</v>
      </c>
      <c r="C146">
        <v>378</v>
      </c>
      <c r="D146">
        <v>515</v>
      </c>
      <c r="E146">
        <v>14.43</v>
      </c>
      <c r="F146">
        <v>22.81</v>
      </c>
      <c r="G146">
        <v>5.88</v>
      </c>
      <c r="H146">
        <v>11.11</v>
      </c>
      <c r="I146">
        <v>40.74</v>
      </c>
      <c r="J146">
        <v>24.56</v>
      </c>
      <c r="K146">
        <v>12.22</v>
      </c>
    </row>
    <row r="147" spans="1:11">
      <c r="A147">
        <v>279</v>
      </c>
      <c r="B147">
        <v>225</v>
      </c>
      <c r="C147">
        <v>382</v>
      </c>
      <c r="D147">
        <v>306</v>
      </c>
      <c r="E147">
        <v>17.940000000000001</v>
      </c>
      <c r="F147">
        <v>15</v>
      </c>
      <c r="G147">
        <v>52.94</v>
      </c>
      <c r="H147">
        <v>15.56</v>
      </c>
      <c r="I147">
        <v>7.41</v>
      </c>
      <c r="J147">
        <v>0</v>
      </c>
      <c r="K147">
        <v>42.22</v>
      </c>
    </row>
    <row r="148" spans="1:11">
      <c r="A148">
        <v>260</v>
      </c>
      <c r="B148">
        <v>179</v>
      </c>
      <c r="C148">
        <v>385</v>
      </c>
      <c r="D148">
        <v>186</v>
      </c>
      <c r="E148">
        <v>19.86</v>
      </c>
      <c r="F148">
        <v>48.33</v>
      </c>
      <c r="G148">
        <v>52.94</v>
      </c>
      <c r="H148">
        <v>-4.43</v>
      </c>
      <c r="I148">
        <v>-3.69</v>
      </c>
      <c r="J148">
        <v>0</v>
      </c>
      <c r="K148">
        <v>0</v>
      </c>
    </row>
    <row r="149" spans="1:11">
      <c r="A149">
        <v>353</v>
      </c>
      <c r="B149">
        <v>249</v>
      </c>
      <c r="C149">
        <v>394</v>
      </c>
      <c r="D149">
        <v>312</v>
      </c>
      <c r="E149">
        <v>19.43</v>
      </c>
      <c r="F149">
        <v>24.56</v>
      </c>
      <c r="G149">
        <v>50.98</v>
      </c>
      <c r="H149">
        <v>-4.43</v>
      </c>
      <c r="I149">
        <v>29.63</v>
      </c>
      <c r="J149">
        <v>0</v>
      </c>
      <c r="K149">
        <v>6.67</v>
      </c>
    </row>
    <row r="150" spans="1:11">
      <c r="A150">
        <v>353</v>
      </c>
      <c r="B150">
        <v>334</v>
      </c>
      <c r="C150">
        <v>396</v>
      </c>
      <c r="D150">
        <v>330</v>
      </c>
      <c r="E150">
        <v>19.010000000000002</v>
      </c>
      <c r="F150">
        <v>31.58</v>
      </c>
      <c r="G150">
        <v>33.33</v>
      </c>
      <c r="H150">
        <v>13.33</v>
      </c>
      <c r="I150">
        <v>14.81</v>
      </c>
      <c r="J150">
        <v>-8.76</v>
      </c>
      <c r="K150">
        <v>2.2200000000000002</v>
      </c>
    </row>
    <row r="151" spans="1:11">
      <c r="A151">
        <v>411</v>
      </c>
      <c r="B151">
        <v>396</v>
      </c>
      <c r="C151">
        <v>400</v>
      </c>
      <c r="D151">
        <v>353</v>
      </c>
      <c r="E151">
        <v>18.05</v>
      </c>
      <c r="F151">
        <v>35.090000000000003</v>
      </c>
      <c r="G151">
        <v>21.57</v>
      </c>
      <c r="H151">
        <v>4.4400000000000004</v>
      </c>
      <c r="I151">
        <v>22.22</v>
      </c>
      <c r="J151">
        <v>0</v>
      </c>
      <c r="K151">
        <v>31.11</v>
      </c>
    </row>
    <row r="152" spans="1:11">
      <c r="A152">
        <v>514</v>
      </c>
      <c r="B152">
        <v>636</v>
      </c>
      <c r="C152">
        <v>402</v>
      </c>
      <c r="D152">
        <v>490</v>
      </c>
      <c r="E152">
        <v>19.57</v>
      </c>
      <c r="F152">
        <v>28.07</v>
      </c>
      <c r="G152">
        <v>-1.96</v>
      </c>
      <c r="H152">
        <v>13.33</v>
      </c>
      <c r="I152">
        <v>22.22</v>
      </c>
      <c r="J152">
        <v>-1.74</v>
      </c>
      <c r="K152">
        <v>61.11</v>
      </c>
    </row>
    <row r="153" spans="1:11">
      <c r="A153">
        <v>326</v>
      </c>
      <c r="B153">
        <v>285</v>
      </c>
      <c r="C153">
        <v>408</v>
      </c>
      <c r="D153">
        <v>310</v>
      </c>
      <c r="E153">
        <v>15.4</v>
      </c>
      <c r="F153">
        <v>35.090000000000003</v>
      </c>
      <c r="G153">
        <v>45.1</v>
      </c>
      <c r="H153">
        <v>20</v>
      </c>
      <c r="I153">
        <v>11.11</v>
      </c>
      <c r="J153">
        <v>0</v>
      </c>
      <c r="K153">
        <v>0</v>
      </c>
    </row>
    <row r="154" spans="1:11">
      <c r="A154">
        <v>530</v>
      </c>
      <c r="B154">
        <v>752</v>
      </c>
      <c r="C154">
        <v>411</v>
      </c>
      <c r="D154">
        <v>710</v>
      </c>
      <c r="F154">
        <v>5.26</v>
      </c>
      <c r="G154">
        <v>-3.91</v>
      </c>
      <c r="H154">
        <v>33.33</v>
      </c>
      <c r="I154">
        <v>22.22</v>
      </c>
      <c r="J154">
        <v>19.3</v>
      </c>
      <c r="K154">
        <v>64.44</v>
      </c>
    </row>
    <row r="155" spans="1:11">
      <c r="A155">
        <v>443</v>
      </c>
      <c r="B155">
        <v>491</v>
      </c>
      <c r="C155">
        <v>422</v>
      </c>
      <c r="D155">
        <v>443</v>
      </c>
      <c r="E155">
        <v>19.96</v>
      </c>
      <c r="F155">
        <v>22.81</v>
      </c>
      <c r="G155">
        <v>9.8000000000000007</v>
      </c>
      <c r="H155">
        <v>11.11</v>
      </c>
      <c r="I155">
        <v>11.11</v>
      </c>
      <c r="J155">
        <v>7.02</v>
      </c>
      <c r="K155">
        <v>70</v>
      </c>
    </row>
    <row r="156" spans="1:11">
      <c r="A156">
        <v>358</v>
      </c>
      <c r="B156">
        <v>329</v>
      </c>
      <c r="C156">
        <v>445</v>
      </c>
      <c r="D156">
        <v>304</v>
      </c>
      <c r="E156">
        <v>15.47</v>
      </c>
      <c r="F156">
        <v>48.33</v>
      </c>
      <c r="G156">
        <v>35.29</v>
      </c>
      <c r="H156">
        <v>20</v>
      </c>
      <c r="I156">
        <v>0</v>
      </c>
      <c r="J156">
        <v>0</v>
      </c>
      <c r="K156">
        <v>0</v>
      </c>
    </row>
    <row r="157" spans="1:11">
      <c r="A157">
        <v>446</v>
      </c>
      <c r="B157">
        <v>323</v>
      </c>
      <c r="C157">
        <v>445</v>
      </c>
      <c r="D157">
        <v>371</v>
      </c>
      <c r="E157">
        <v>16.16</v>
      </c>
      <c r="F157">
        <v>26.32</v>
      </c>
      <c r="G157">
        <v>43.14</v>
      </c>
      <c r="H157">
        <v>-11.1</v>
      </c>
      <c r="I157">
        <v>44.44</v>
      </c>
      <c r="J157">
        <v>0</v>
      </c>
      <c r="K157">
        <v>0</v>
      </c>
    </row>
    <row r="158" spans="1:11">
      <c r="A158">
        <v>367</v>
      </c>
      <c r="B158">
        <v>338</v>
      </c>
      <c r="C158">
        <v>447</v>
      </c>
      <c r="D158">
        <v>321</v>
      </c>
      <c r="E158">
        <v>15.5</v>
      </c>
      <c r="F158">
        <v>40.35</v>
      </c>
      <c r="G158">
        <v>35.29</v>
      </c>
      <c r="H158">
        <v>13.33</v>
      </c>
      <c r="I158">
        <v>11.11</v>
      </c>
      <c r="J158">
        <v>0</v>
      </c>
      <c r="K158">
        <v>0</v>
      </c>
    </row>
    <row r="159" spans="1:11">
      <c r="A159">
        <v>388</v>
      </c>
      <c r="B159">
        <v>269</v>
      </c>
      <c r="C159">
        <v>454</v>
      </c>
      <c r="D159">
        <v>345</v>
      </c>
      <c r="E159">
        <v>17.04</v>
      </c>
      <c r="F159">
        <v>21.05</v>
      </c>
      <c r="G159">
        <v>50.98</v>
      </c>
      <c r="H159">
        <v>-4.43</v>
      </c>
      <c r="I159">
        <v>29.63</v>
      </c>
      <c r="J159">
        <v>0</v>
      </c>
      <c r="K159">
        <v>14.44</v>
      </c>
    </row>
    <row r="160" spans="1:11">
      <c r="A160">
        <v>464</v>
      </c>
      <c r="B160">
        <v>541</v>
      </c>
      <c r="C160">
        <v>461</v>
      </c>
      <c r="D160">
        <v>464</v>
      </c>
      <c r="E160">
        <v>17.48</v>
      </c>
      <c r="F160">
        <v>29.82</v>
      </c>
      <c r="G160">
        <v>9.8000000000000007</v>
      </c>
      <c r="H160">
        <v>20</v>
      </c>
      <c r="I160">
        <v>7.41</v>
      </c>
      <c r="J160">
        <v>0</v>
      </c>
      <c r="K160">
        <v>61.11</v>
      </c>
    </row>
    <row r="161" spans="1:11">
      <c r="A161">
        <v>349</v>
      </c>
      <c r="B161">
        <v>337</v>
      </c>
      <c r="C161">
        <v>466</v>
      </c>
      <c r="D161">
        <v>323</v>
      </c>
      <c r="E161">
        <v>17.05</v>
      </c>
      <c r="F161">
        <v>38.6</v>
      </c>
      <c r="G161">
        <v>35.29</v>
      </c>
      <c r="H161">
        <v>17.78</v>
      </c>
      <c r="I161">
        <v>0</v>
      </c>
      <c r="J161">
        <v>0</v>
      </c>
      <c r="K161">
        <v>0</v>
      </c>
    </row>
    <row r="162" spans="1:11">
      <c r="A162">
        <v>409</v>
      </c>
      <c r="B162">
        <v>402</v>
      </c>
      <c r="C162">
        <v>468</v>
      </c>
      <c r="D162">
        <v>385</v>
      </c>
      <c r="E162">
        <v>17.18</v>
      </c>
      <c r="F162">
        <v>33.33</v>
      </c>
      <c r="G162">
        <v>27.45</v>
      </c>
      <c r="H162">
        <v>15.56</v>
      </c>
      <c r="I162">
        <v>11.11</v>
      </c>
      <c r="J162">
        <v>0</v>
      </c>
      <c r="K162">
        <v>7.78</v>
      </c>
    </row>
    <row r="163" spans="1:11">
      <c r="A163">
        <v>461</v>
      </c>
      <c r="B163">
        <v>389</v>
      </c>
      <c r="C163">
        <v>475</v>
      </c>
      <c r="D163">
        <v>415</v>
      </c>
      <c r="E163">
        <v>15.23</v>
      </c>
      <c r="F163">
        <v>26.32</v>
      </c>
      <c r="G163">
        <v>33.33</v>
      </c>
      <c r="H163">
        <v>2.2200000000000002</v>
      </c>
      <c r="I163">
        <v>29.63</v>
      </c>
      <c r="J163">
        <v>0</v>
      </c>
      <c r="K163">
        <v>34.44</v>
      </c>
    </row>
    <row r="164" spans="1:11">
      <c r="A164">
        <v>426</v>
      </c>
      <c r="B164">
        <v>360</v>
      </c>
      <c r="C164">
        <v>480</v>
      </c>
      <c r="D164">
        <v>371</v>
      </c>
      <c r="E164">
        <v>18.850000000000001</v>
      </c>
      <c r="F164">
        <v>29.82</v>
      </c>
      <c r="G164">
        <v>35.29</v>
      </c>
      <c r="H164">
        <v>0</v>
      </c>
      <c r="I164">
        <v>22.22</v>
      </c>
      <c r="J164">
        <v>0</v>
      </c>
      <c r="K164">
        <v>0</v>
      </c>
    </row>
    <row r="165" spans="1:11">
      <c r="A165">
        <v>372</v>
      </c>
      <c r="B165">
        <v>327</v>
      </c>
      <c r="C165">
        <v>484</v>
      </c>
      <c r="D165">
        <v>420</v>
      </c>
      <c r="E165">
        <v>18.739999999999998</v>
      </c>
      <c r="F165">
        <v>10.53</v>
      </c>
      <c r="G165">
        <v>41.18</v>
      </c>
      <c r="H165">
        <v>15.56</v>
      </c>
      <c r="I165">
        <v>7.41</v>
      </c>
      <c r="J165">
        <v>0</v>
      </c>
      <c r="K165">
        <v>48.89</v>
      </c>
    </row>
    <row r="166" spans="1:11">
      <c r="A166">
        <v>556</v>
      </c>
      <c r="B166">
        <v>555</v>
      </c>
      <c r="C166">
        <v>503</v>
      </c>
      <c r="D166">
        <v>469</v>
      </c>
      <c r="E166">
        <v>17.28</v>
      </c>
      <c r="F166">
        <v>36.840000000000003</v>
      </c>
      <c r="G166">
        <v>15.69</v>
      </c>
      <c r="H166">
        <v>8.89</v>
      </c>
      <c r="I166">
        <v>22.22</v>
      </c>
      <c r="J166">
        <v>0</v>
      </c>
      <c r="K166">
        <v>0</v>
      </c>
    </row>
    <row r="167" spans="1:11">
      <c r="A167">
        <v>354</v>
      </c>
      <c r="B167">
        <v>316</v>
      </c>
      <c r="C167">
        <v>518</v>
      </c>
      <c r="D167">
        <v>390</v>
      </c>
      <c r="E167">
        <v>16.440000000000001</v>
      </c>
      <c r="F167">
        <v>15.79</v>
      </c>
      <c r="G167">
        <v>41.18</v>
      </c>
      <c r="H167">
        <v>17.78</v>
      </c>
      <c r="I167">
        <v>-7.4</v>
      </c>
      <c r="J167">
        <v>3.51</v>
      </c>
      <c r="K167">
        <v>76.67</v>
      </c>
    </row>
    <row r="168" spans="1:11">
      <c r="A168">
        <v>405</v>
      </c>
      <c r="B168">
        <v>371</v>
      </c>
      <c r="C168">
        <v>521</v>
      </c>
      <c r="D168">
        <v>383</v>
      </c>
      <c r="E168">
        <v>17.48</v>
      </c>
      <c r="F168">
        <v>28.07</v>
      </c>
      <c r="G168">
        <v>33.33</v>
      </c>
      <c r="H168">
        <v>10.42</v>
      </c>
      <c r="I168">
        <v>3.7</v>
      </c>
      <c r="J168">
        <v>-5.25</v>
      </c>
      <c r="K168">
        <v>51.11</v>
      </c>
    </row>
    <row r="169" spans="1:11">
      <c r="A169">
        <v>459</v>
      </c>
      <c r="B169">
        <v>431</v>
      </c>
      <c r="C169">
        <v>522</v>
      </c>
      <c r="D169">
        <v>429</v>
      </c>
      <c r="E169">
        <v>16.59</v>
      </c>
      <c r="F169">
        <v>31.58</v>
      </c>
      <c r="G169">
        <v>33.33</v>
      </c>
      <c r="H169">
        <v>15.56</v>
      </c>
      <c r="I169">
        <v>14.81</v>
      </c>
      <c r="J169">
        <v>0</v>
      </c>
      <c r="K169">
        <v>0</v>
      </c>
    </row>
    <row r="170" spans="1:11">
      <c r="A170">
        <v>468</v>
      </c>
      <c r="B170">
        <v>386</v>
      </c>
      <c r="C170">
        <v>523</v>
      </c>
      <c r="D170">
        <v>439</v>
      </c>
      <c r="E170">
        <v>17.079999999999998</v>
      </c>
      <c r="F170">
        <v>21.05</v>
      </c>
      <c r="G170">
        <v>35.29</v>
      </c>
      <c r="H170">
        <v>0</v>
      </c>
      <c r="I170">
        <v>22.22</v>
      </c>
      <c r="J170">
        <v>0</v>
      </c>
      <c r="K170">
        <v>47.78</v>
      </c>
    </row>
    <row r="171" spans="1:11">
      <c r="A171">
        <v>398</v>
      </c>
      <c r="B171">
        <v>317</v>
      </c>
      <c r="C171">
        <v>531</v>
      </c>
      <c r="D171">
        <v>386</v>
      </c>
      <c r="E171">
        <v>15.08</v>
      </c>
      <c r="F171">
        <v>21.05</v>
      </c>
      <c r="G171">
        <v>45.1</v>
      </c>
      <c r="H171">
        <v>6.25</v>
      </c>
      <c r="I171">
        <v>11.11</v>
      </c>
      <c r="J171">
        <v>0</v>
      </c>
      <c r="K171">
        <v>61.11</v>
      </c>
    </row>
    <row r="172" spans="1:11">
      <c r="A172">
        <v>571</v>
      </c>
      <c r="B172">
        <v>553</v>
      </c>
      <c r="C172">
        <v>531</v>
      </c>
      <c r="D172">
        <v>479</v>
      </c>
      <c r="E172">
        <v>18.82</v>
      </c>
      <c r="F172">
        <v>35.090000000000003</v>
      </c>
      <c r="G172">
        <v>17.649999999999999</v>
      </c>
      <c r="H172">
        <v>4.4400000000000004</v>
      </c>
      <c r="I172">
        <v>22.22</v>
      </c>
      <c r="J172">
        <v>0</v>
      </c>
      <c r="K172">
        <v>13.33</v>
      </c>
    </row>
    <row r="173" spans="1:11">
      <c r="A173">
        <v>395</v>
      </c>
      <c r="B173">
        <v>385</v>
      </c>
      <c r="C173">
        <v>532</v>
      </c>
      <c r="D173">
        <v>382</v>
      </c>
      <c r="E173">
        <v>17.420000000000002</v>
      </c>
      <c r="F173">
        <v>33.33</v>
      </c>
      <c r="G173">
        <v>33.33</v>
      </c>
      <c r="H173">
        <v>22.22</v>
      </c>
      <c r="I173">
        <v>-7.4</v>
      </c>
      <c r="J173">
        <v>0</v>
      </c>
      <c r="K173">
        <v>0</v>
      </c>
    </row>
    <row r="174" spans="1:11">
      <c r="A174">
        <v>427</v>
      </c>
      <c r="B174">
        <v>359</v>
      </c>
      <c r="C174">
        <v>532</v>
      </c>
      <c r="D174">
        <v>357</v>
      </c>
      <c r="E174">
        <v>15.95</v>
      </c>
      <c r="F174">
        <v>42.11</v>
      </c>
      <c r="G174">
        <v>39.22</v>
      </c>
      <c r="H174">
        <v>6.67</v>
      </c>
      <c r="I174">
        <v>11.11</v>
      </c>
      <c r="J174">
        <v>0</v>
      </c>
      <c r="K174">
        <v>0</v>
      </c>
    </row>
    <row r="175" spans="1:11">
      <c r="A175">
        <v>619</v>
      </c>
      <c r="B175">
        <v>806</v>
      </c>
      <c r="C175">
        <v>547</v>
      </c>
      <c r="D175">
        <v>705</v>
      </c>
      <c r="E175">
        <v>17.55</v>
      </c>
      <c r="F175">
        <v>15.79</v>
      </c>
      <c r="G175">
        <v>0</v>
      </c>
      <c r="H175">
        <v>26.67</v>
      </c>
      <c r="I175">
        <v>7.41</v>
      </c>
      <c r="J175">
        <v>5.26</v>
      </c>
      <c r="K175">
        <v>72.22</v>
      </c>
    </row>
    <row r="176" spans="1:11">
      <c r="A176">
        <v>650</v>
      </c>
      <c r="B176">
        <v>717</v>
      </c>
      <c r="C176">
        <v>558</v>
      </c>
      <c r="D176">
        <v>553</v>
      </c>
      <c r="E176">
        <v>15.58</v>
      </c>
      <c r="F176">
        <v>40.35</v>
      </c>
      <c r="G176">
        <v>7.84</v>
      </c>
      <c r="H176">
        <v>13.33</v>
      </c>
      <c r="I176">
        <v>22.22</v>
      </c>
      <c r="J176">
        <v>0</v>
      </c>
      <c r="K176">
        <v>20</v>
      </c>
    </row>
    <row r="177" spans="1:11">
      <c r="A177">
        <v>464</v>
      </c>
      <c r="B177">
        <v>600</v>
      </c>
      <c r="C177">
        <v>578</v>
      </c>
      <c r="D177">
        <v>773</v>
      </c>
      <c r="E177">
        <v>15.6</v>
      </c>
      <c r="F177">
        <v>0</v>
      </c>
      <c r="G177">
        <v>27.45</v>
      </c>
      <c r="H177">
        <v>55.56</v>
      </c>
      <c r="I177">
        <v>0</v>
      </c>
      <c r="J177">
        <v>0</v>
      </c>
      <c r="K177">
        <v>0</v>
      </c>
    </row>
    <row r="178" spans="1:11">
      <c r="A178">
        <v>739</v>
      </c>
      <c r="B178">
        <v>715</v>
      </c>
      <c r="C178">
        <v>585</v>
      </c>
      <c r="D178">
        <v>654</v>
      </c>
      <c r="E178">
        <v>15.85</v>
      </c>
      <c r="F178">
        <v>26.67</v>
      </c>
      <c r="G178">
        <v>13.73</v>
      </c>
      <c r="H178">
        <v>8.33</v>
      </c>
      <c r="I178">
        <v>33.33</v>
      </c>
      <c r="J178">
        <v>1.75</v>
      </c>
      <c r="K178">
        <v>0</v>
      </c>
    </row>
    <row r="179" spans="1:11">
      <c r="A179">
        <v>613</v>
      </c>
      <c r="B179">
        <v>859</v>
      </c>
      <c r="C179">
        <v>588</v>
      </c>
      <c r="D179">
        <v>880</v>
      </c>
      <c r="E179">
        <v>14.08</v>
      </c>
      <c r="F179">
        <v>10.53</v>
      </c>
      <c r="G179">
        <v>11.76</v>
      </c>
      <c r="H179">
        <v>50</v>
      </c>
      <c r="I179">
        <v>14.81</v>
      </c>
      <c r="J179">
        <v>3.51</v>
      </c>
      <c r="K179">
        <v>0</v>
      </c>
    </row>
    <row r="180" spans="1:11">
      <c r="A180">
        <v>596</v>
      </c>
      <c r="B180">
        <v>492</v>
      </c>
      <c r="C180">
        <v>610</v>
      </c>
      <c r="D180">
        <v>476</v>
      </c>
      <c r="E180">
        <v>15.04</v>
      </c>
      <c r="F180">
        <v>35.090000000000003</v>
      </c>
      <c r="G180">
        <v>29.41</v>
      </c>
      <c r="H180">
        <v>0</v>
      </c>
      <c r="I180">
        <v>22.22</v>
      </c>
      <c r="J180">
        <v>0</v>
      </c>
      <c r="K180">
        <v>12.22</v>
      </c>
    </row>
    <row r="181" spans="1:11">
      <c r="A181">
        <v>749</v>
      </c>
      <c r="B181">
        <v>904</v>
      </c>
      <c r="C181">
        <v>610</v>
      </c>
      <c r="D181">
        <v>775</v>
      </c>
      <c r="E181">
        <v>14.96</v>
      </c>
      <c r="F181">
        <v>24.56</v>
      </c>
      <c r="G181">
        <v>5.88</v>
      </c>
      <c r="H181">
        <v>24.44</v>
      </c>
      <c r="I181">
        <v>25.93</v>
      </c>
      <c r="J181">
        <v>0</v>
      </c>
      <c r="K181">
        <v>22.22</v>
      </c>
    </row>
    <row r="182" spans="1:11">
      <c r="A182">
        <v>509</v>
      </c>
      <c r="B182">
        <v>466</v>
      </c>
      <c r="C182">
        <v>622</v>
      </c>
      <c r="D182">
        <v>405</v>
      </c>
      <c r="E182">
        <v>17.55</v>
      </c>
      <c r="F182">
        <v>45.61</v>
      </c>
      <c r="G182">
        <v>27.45</v>
      </c>
      <c r="H182">
        <v>6.67</v>
      </c>
      <c r="I182">
        <v>0</v>
      </c>
      <c r="J182">
        <v>0</v>
      </c>
      <c r="K182">
        <v>12.22</v>
      </c>
    </row>
    <row r="183" spans="1:11">
      <c r="A183">
        <v>515</v>
      </c>
      <c r="B183">
        <v>537</v>
      </c>
      <c r="C183">
        <v>629</v>
      </c>
      <c r="D183">
        <v>502</v>
      </c>
      <c r="E183">
        <v>17.190000000000001</v>
      </c>
      <c r="F183">
        <v>31.58</v>
      </c>
      <c r="G183">
        <v>23.53</v>
      </c>
      <c r="H183">
        <v>20.83</v>
      </c>
      <c r="I183">
        <v>-3.69</v>
      </c>
      <c r="J183">
        <v>0</v>
      </c>
      <c r="K183">
        <v>7.78</v>
      </c>
    </row>
    <row r="184" spans="1:11">
      <c r="A184">
        <v>574</v>
      </c>
      <c r="B184">
        <v>532</v>
      </c>
      <c r="C184">
        <v>636</v>
      </c>
      <c r="D184">
        <v>439</v>
      </c>
      <c r="E184">
        <v>20</v>
      </c>
      <c r="F184">
        <v>41.67</v>
      </c>
      <c r="G184">
        <v>17.649999999999999</v>
      </c>
      <c r="H184">
        <v>0</v>
      </c>
      <c r="I184">
        <v>0</v>
      </c>
      <c r="J184">
        <v>0</v>
      </c>
      <c r="K184">
        <v>23.33</v>
      </c>
    </row>
    <row r="185" spans="1:11">
      <c r="A185">
        <v>588</v>
      </c>
      <c r="B185">
        <v>524</v>
      </c>
      <c r="C185">
        <v>645</v>
      </c>
      <c r="D185">
        <v>751</v>
      </c>
      <c r="E185">
        <v>15.01</v>
      </c>
      <c r="F185">
        <v>1.75</v>
      </c>
      <c r="G185">
        <v>40.74</v>
      </c>
      <c r="H185">
        <v>25</v>
      </c>
      <c r="I185">
        <v>25.93</v>
      </c>
      <c r="J185">
        <v>-19.29</v>
      </c>
      <c r="K185">
        <v>11.11</v>
      </c>
    </row>
    <row r="186" spans="1:11">
      <c r="A186">
        <v>605</v>
      </c>
      <c r="B186">
        <v>583</v>
      </c>
      <c r="C186">
        <v>678</v>
      </c>
      <c r="D186">
        <v>452</v>
      </c>
      <c r="E186">
        <v>17.170000000000002</v>
      </c>
      <c r="F186">
        <v>45.61</v>
      </c>
      <c r="G186">
        <v>15.69</v>
      </c>
      <c r="H186">
        <v>4.4400000000000004</v>
      </c>
      <c r="I186">
        <v>-7.4</v>
      </c>
      <c r="J186">
        <v>3.51</v>
      </c>
      <c r="K186">
        <v>32.22</v>
      </c>
    </row>
    <row r="187" spans="1:11">
      <c r="A187">
        <v>486</v>
      </c>
      <c r="B187">
        <v>332</v>
      </c>
      <c r="C187">
        <v>679</v>
      </c>
      <c r="D187">
        <v>403</v>
      </c>
      <c r="E187">
        <v>15.03</v>
      </c>
      <c r="F187">
        <v>28.07</v>
      </c>
      <c r="G187">
        <v>54.9</v>
      </c>
      <c r="H187">
        <v>-4.43</v>
      </c>
      <c r="I187">
        <v>14.81</v>
      </c>
      <c r="J187">
        <v>0</v>
      </c>
      <c r="K187">
        <v>0</v>
      </c>
    </row>
    <row r="188" spans="1:11">
      <c r="A188">
        <v>512</v>
      </c>
      <c r="B188">
        <v>370</v>
      </c>
      <c r="C188">
        <v>700</v>
      </c>
      <c r="D188">
        <v>520</v>
      </c>
      <c r="E188">
        <v>15.7</v>
      </c>
      <c r="F188">
        <v>12.28</v>
      </c>
      <c r="G188">
        <v>54.9</v>
      </c>
      <c r="H188">
        <v>4.4400000000000004</v>
      </c>
      <c r="I188">
        <v>18.52</v>
      </c>
      <c r="J188">
        <v>0</v>
      </c>
      <c r="K188">
        <v>0</v>
      </c>
    </row>
    <row r="189" spans="1:11">
      <c r="A189">
        <v>965</v>
      </c>
      <c r="B189">
        <v>919</v>
      </c>
      <c r="C189">
        <v>701</v>
      </c>
      <c r="D189">
        <v>818</v>
      </c>
      <c r="E189">
        <v>15.73</v>
      </c>
      <c r="F189">
        <v>26.32</v>
      </c>
      <c r="G189">
        <v>9.8000000000000007</v>
      </c>
      <c r="H189">
        <v>0</v>
      </c>
      <c r="I189">
        <v>40.74</v>
      </c>
      <c r="J189">
        <v>0</v>
      </c>
      <c r="K189">
        <v>0</v>
      </c>
    </row>
    <row r="190" spans="1:11">
      <c r="A190">
        <v>1148</v>
      </c>
      <c r="B190">
        <v>1179</v>
      </c>
      <c r="C190">
        <v>735</v>
      </c>
      <c r="D190">
        <v>1146</v>
      </c>
      <c r="E190">
        <v>16.989999999999998</v>
      </c>
      <c r="F190">
        <v>8.77</v>
      </c>
      <c r="G190">
        <v>3.7</v>
      </c>
      <c r="H190">
        <v>5.88</v>
      </c>
      <c r="I190">
        <v>46.67</v>
      </c>
      <c r="J190">
        <v>0</v>
      </c>
      <c r="K190">
        <v>16.670000000000002</v>
      </c>
    </row>
    <row r="191" spans="1:11">
      <c r="A191">
        <v>654</v>
      </c>
      <c r="B191">
        <v>643</v>
      </c>
      <c r="C191">
        <v>740</v>
      </c>
      <c r="D191">
        <v>527</v>
      </c>
      <c r="E191">
        <v>16.23</v>
      </c>
      <c r="F191">
        <v>40.35</v>
      </c>
      <c r="G191">
        <v>17.649999999999999</v>
      </c>
      <c r="H191">
        <v>11.11</v>
      </c>
      <c r="I191">
        <v>0</v>
      </c>
      <c r="J191">
        <v>0</v>
      </c>
      <c r="K191">
        <v>15.56</v>
      </c>
    </row>
    <row r="192" spans="1:11">
      <c r="A192">
        <v>600</v>
      </c>
      <c r="B192">
        <v>545</v>
      </c>
      <c r="C192">
        <v>754</v>
      </c>
      <c r="D192">
        <v>591</v>
      </c>
      <c r="E192">
        <v>19.170000000000002</v>
      </c>
      <c r="F192">
        <v>19.3</v>
      </c>
      <c r="G192">
        <v>29.41</v>
      </c>
      <c r="H192">
        <v>13.33</v>
      </c>
      <c r="I192">
        <v>0</v>
      </c>
      <c r="J192">
        <v>-1.74</v>
      </c>
      <c r="K192">
        <v>16.670000000000002</v>
      </c>
    </row>
    <row r="193" spans="1:11">
      <c r="A193">
        <v>635</v>
      </c>
      <c r="B193">
        <v>685</v>
      </c>
      <c r="C193">
        <v>763</v>
      </c>
      <c r="D193">
        <v>686</v>
      </c>
      <c r="E193">
        <v>14.44</v>
      </c>
      <c r="F193">
        <v>24.56</v>
      </c>
      <c r="G193">
        <v>25.49</v>
      </c>
      <c r="H193">
        <v>31.25</v>
      </c>
      <c r="I193">
        <v>0</v>
      </c>
      <c r="J193">
        <v>0</v>
      </c>
      <c r="K193">
        <v>8.89</v>
      </c>
    </row>
    <row r="194" spans="1:11">
      <c r="A194">
        <v>839</v>
      </c>
      <c r="B194">
        <v>740</v>
      </c>
      <c r="C194">
        <v>763</v>
      </c>
      <c r="D194">
        <v>879</v>
      </c>
      <c r="E194">
        <v>16.38</v>
      </c>
      <c r="F194">
        <v>8.77</v>
      </c>
      <c r="G194">
        <v>25.49</v>
      </c>
      <c r="H194">
        <v>8.89</v>
      </c>
      <c r="I194">
        <v>33.33</v>
      </c>
      <c r="J194">
        <v>0</v>
      </c>
      <c r="K194">
        <v>0</v>
      </c>
    </row>
    <row r="195" spans="1:11">
      <c r="A195">
        <v>853</v>
      </c>
      <c r="B195">
        <v>782</v>
      </c>
      <c r="C195">
        <v>778</v>
      </c>
      <c r="D195">
        <v>694</v>
      </c>
      <c r="E195">
        <v>17.72</v>
      </c>
      <c r="F195">
        <v>29.82</v>
      </c>
      <c r="G195">
        <v>15.69</v>
      </c>
      <c r="H195">
        <v>0</v>
      </c>
      <c r="I195">
        <v>22.22</v>
      </c>
      <c r="J195">
        <v>0</v>
      </c>
      <c r="K195">
        <v>0</v>
      </c>
    </row>
    <row r="196" spans="1:11">
      <c r="A196">
        <v>1033</v>
      </c>
      <c r="B196">
        <v>1175</v>
      </c>
      <c r="C196">
        <v>796</v>
      </c>
      <c r="D196">
        <v>977</v>
      </c>
      <c r="E196">
        <v>17.809999999999999</v>
      </c>
      <c r="F196">
        <v>17.54</v>
      </c>
      <c r="G196">
        <v>-7.83</v>
      </c>
      <c r="H196">
        <v>4.4400000000000004</v>
      </c>
      <c r="I196">
        <v>18.52</v>
      </c>
      <c r="J196">
        <v>14.04</v>
      </c>
      <c r="K196">
        <v>68.89</v>
      </c>
    </row>
    <row r="197" spans="1:11">
      <c r="A197">
        <v>485</v>
      </c>
      <c r="B197">
        <v>339</v>
      </c>
      <c r="C197">
        <v>809</v>
      </c>
      <c r="D197">
        <v>358</v>
      </c>
      <c r="E197">
        <v>13.3</v>
      </c>
      <c r="F197">
        <v>43.86</v>
      </c>
      <c r="G197">
        <v>52.94</v>
      </c>
      <c r="H197">
        <v>-2.21</v>
      </c>
      <c r="I197">
        <v>-7.4</v>
      </c>
      <c r="J197">
        <v>0</v>
      </c>
      <c r="K197">
        <v>10</v>
      </c>
    </row>
    <row r="198" spans="1:11">
      <c r="A198">
        <v>575</v>
      </c>
      <c r="B198">
        <v>404</v>
      </c>
      <c r="C198">
        <v>809</v>
      </c>
      <c r="D198">
        <v>508</v>
      </c>
      <c r="E198">
        <v>15.66</v>
      </c>
      <c r="F198">
        <v>21.05</v>
      </c>
      <c r="G198">
        <v>47.06</v>
      </c>
      <c r="H198">
        <v>-2.21</v>
      </c>
      <c r="I198">
        <v>7.41</v>
      </c>
      <c r="J198">
        <v>0</v>
      </c>
      <c r="K198">
        <v>37.78</v>
      </c>
    </row>
    <row r="199" spans="1:11">
      <c r="A199">
        <v>670</v>
      </c>
      <c r="B199">
        <v>525</v>
      </c>
      <c r="C199">
        <v>816</v>
      </c>
      <c r="D199">
        <v>564</v>
      </c>
      <c r="E199">
        <v>17.82</v>
      </c>
      <c r="F199">
        <v>25</v>
      </c>
      <c r="G199">
        <v>35.29</v>
      </c>
      <c r="H199">
        <v>0</v>
      </c>
      <c r="I199">
        <v>11.11</v>
      </c>
      <c r="J199">
        <v>0</v>
      </c>
      <c r="K199">
        <v>0</v>
      </c>
    </row>
    <row r="200" spans="1:11">
      <c r="A200">
        <v>756</v>
      </c>
      <c r="B200">
        <v>723</v>
      </c>
      <c r="C200">
        <v>820</v>
      </c>
      <c r="D200">
        <v>725</v>
      </c>
      <c r="E200">
        <v>17.03</v>
      </c>
      <c r="F200">
        <v>21.05</v>
      </c>
      <c r="G200">
        <v>21.57</v>
      </c>
      <c r="H200">
        <v>11.11</v>
      </c>
      <c r="I200">
        <v>7.41</v>
      </c>
      <c r="J200">
        <v>0</v>
      </c>
      <c r="K200">
        <v>46.67</v>
      </c>
    </row>
    <row r="201" spans="1:11">
      <c r="A201">
        <v>900</v>
      </c>
      <c r="B201">
        <v>991</v>
      </c>
      <c r="C201">
        <v>821</v>
      </c>
      <c r="D201">
        <v>863</v>
      </c>
      <c r="E201">
        <v>14.25</v>
      </c>
      <c r="F201">
        <v>26.32</v>
      </c>
      <c r="G201">
        <v>7.84</v>
      </c>
      <c r="H201">
        <v>17.78</v>
      </c>
      <c r="I201">
        <v>14.81</v>
      </c>
      <c r="J201">
        <v>-1.74</v>
      </c>
      <c r="K201">
        <v>30</v>
      </c>
    </row>
    <row r="202" spans="1:11">
      <c r="A202">
        <v>1156</v>
      </c>
      <c r="B202">
        <v>1382</v>
      </c>
      <c r="C202">
        <v>829</v>
      </c>
      <c r="D202">
        <v>1093</v>
      </c>
      <c r="E202">
        <v>16.46</v>
      </c>
      <c r="F202">
        <v>18.329999999999998</v>
      </c>
      <c r="G202">
        <v>-7.83</v>
      </c>
      <c r="H202">
        <v>11.11</v>
      </c>
      <c r="I202">
        <v>25.93</v>
      </c>
      <c r="J202">
        <v>15.79</v>
      </c>
      <c r="K202">
        <v>0</v>
      </c>
    </row>
    <row r="203" spans="1:11">
      <c r="A203">
        <v>931</v>
      </c>
      <c r="B203">
        <v>1034</v>
      </c>
      <c r="C203">
        <v>835</v>
      </c>
      <c r="D203">
        <v>1154</v>
      </c>
      <c r="E203">
        <v>17.510000000000002</v>
      </c>
      <c r="F203">
        <v>1.75</v>
      </c>
      <c r="G203">
        <v>11.11</v>
      </c>
      <c r="H203">
        <v>21.57</v>
      </c>
      <c r="I203">
        <v>20</v>
      </c>
      <c r="J203">
        <v>8.77</v>
      </c>
      <c r="K203">
        <v>6.67</v>
      </c>
    </row>
    <row r="204" spans="1:11">
      <c r="A204">
        <v>1442</v>
      </c>
      <c r="B204">
        <v>1724</v>
      </c>
      <c r="C204">
        <v>845</v>
      </c>
      <c r="D204">
        <v>1493</v>
      </c>
      <c r="E204">
        <v>15.11</v>
      </c>
      <c r="F204">
        <v>10.53</v>
      </c>
      <c r="G204">
        <v>-9.7899999999999991</v>
      </c>
      <c r="H204">
        <v>8.33</v>
      </c>
      <c r="I204">
        <v>48.15</v>
      </c>
      <c r="J204">
        <v>8.77</v>
      </c>
      <c r="K204">
        <v>1.1100000000000001</v>
      </c>
    </row>
    <row r="205" spans="1:11">
      <c r="A205">
        <v>1127</v>
      </c>
      <c r="B205">
        <v>1412</v>
      </c>
      <c r="C205">
        <v>849</v>
      </c>
      <c r="D205">
        <v>1379</v>
      </c>
      <c r="E205">
        <v>18.059999999999999</v>
      </c>
      <c r="F205">
        <v>3.51</v>
      </c>
      <c r="G205">
        <v>0</v>
      </c>
      <c r="H205">
        <v>22.22</v>
      </c>
      <c r="I205">
        <v>25.93</v>
      </c>
      <c r="J205">
        <v>7.02</v>
      </c>
      <c r="K205">
        <v>0</v>
      </c>
    </row>
    <row r="206" spans="1:11">
      <c r="A206">
        <v>623</v>
      </c>
      <c r="B206">
        <v>504</v>
      </c>
      <c r="C206">
        <v>856</v>
      </c>
      <c r="D206">
        <v>537</v>
      </c>
      <c r="E206">
        <v>16.59</v>
      </c>
      <c r="F206">
        <v>29.82</v>
      </c>
      <c r="G206">
        <v>37.25</v>
      </c>
      <c r="H206">
        <v>6.67</v>
      </c>
      <c r="I206">
        <v>0</v>
      </c>
      <c r="J206">
        <v>0</v>
      </c>
      <c r="K206">
        <v>0</v>
      </c>
    </row>
    <row r="207" spans="1:11">
      <c r="A207">
        <v>613</v>
      </c>
      <c r="B207">
        <v>483</v>
      </c>
      <c r="C207">
        <v>873</v>
      </c>
      <c r="D207">
        <v>619</v>
      </c>
      <c r="E207">
        <v>20</v>
      </c>
      <c r="F207">
        <v>12.28</v>
      </c>
      <c r="G207">
        <v>41.18</v>
      </c>
      <c r="H207">
        <v>8.89</v>
      </c>
      <c r="I207">
        <v>0</v>
      </c>
      <c r="J207">
        <v>0</v>
      </c>
      <c r="K207">
        <v>0</v>
      </c>
    </row>
    <row r="208" spans="1:11">
      <c r="A208">
        <v>505</v>
      </c>
      <c r="B208">
        <v>363</v>
      </c>
      <c r="C208">
        <v>878</v>
      </c>
      <c r="D208">
        <v>434</v>
      </c>
      <c r="E208">
        <v>17.940000000000001</v>
      </c>
      <c r="F208">
        <v>29.82</v>
      </c>
      <c r="G208">
        <v>50.98</v>
      </c>
      <c r="H208">
        <v>0</v>
      </c>
      <c r="I208">
        <v>-14.8</v>
      </c>
      <c r="J208">
        <v>0</v>
      </c>
      <c r="K208">
        <v>6.67</v>
      </c>
    </row>
    <row r="209" spans="1:11">
      <c r="A209">
        <v>925</v>
      </c>
      <c r="B209">
        <v>941</v>
      </c>
      <c r="C209">
        <v>901</v>
      </c>
      <c r="D209">
        <v>1181</v>
      </c>
      <c r="E209">
        <v>16.37</v>
      </c>
      <c r="F209">
        <v>0</v>
      </c>
      <c r="G209">
        <v>23.53</v>
      </c>
      <c r="H209">
        <v>26.67</v>
      </c>
      <c r="I209">
        <v>22.22</v>
      </c>
      <c r="J209">
        <v>0</v>
      </c>
      <c r="K209">
        <v>0</v>
      </c>
    </row>
    <row r="210" spans="1:11">
      <c r="A210">
        <v>677</v>
      </c>
      <c r="B210">
        <v>608</v>
      </c>
      <c r="C210">
        <v>902</v>
      </c>
      <c r="D210">
        <v>731</v>
      </c>
      <c r="E210">
        <v>15.52</v>
      </c>
      <c r="F210">
        <v>15.79</v>
      </c>
      <c r="G210">
        <v>35.29</v>
      </c>
      <c r="H210">
        <v>20</v>
      </c>
      <c r="I210">
        <v>3.7</v>
      </c>
      <c r="J210">
        <v>0</v>
      </c>
      <c r="K210">
        <v>0</v>
      </c>
    </row>
    <row r="211" spans="1:11">
      <c r="A211">
        <v>1045</v>
      </c>
      <c r="B211">
        <v>1161</v>
      </c>
      <c r="C211">
        <v>903</v>
      </c>
      <c r="D211">
        <v>873</v>
      </c>
      <c r="E211">
        <v>18.02</v>
      </c>
      <c r="F211">
        <v>29.82</v>
      </c>
      <c r="G211">
        <v>-5.87</v>
      </c>
      <c r="H211">
        <v>4.4400000000000004</v>
      </c>
      <c r="I211">
        <v>11.11</v>
      </c>
      <c r="J211">
        <v>0</v>
      </c>
      <c r="K211">
        <v>51.11</v>
      </c>
    </row>
    <row r="212" spans="1:11">
      <c r="A212">
        <v>672</v>
      </c>
      <c r="B212">
        <v>545</v>
      </c>
      <c r="C212">
        <v>905</v>
      </c>
      <c r="D212">
        <v>590</v>
      </c>
      <c r="E212">
        <v>17.18</v>
      </c>
      <c r="F212">
        <v>28.07</v>
      </c>
      <c r="G212">
        <v>37.25</v>
      </c>
      <c r="H212">
        <v>6.67</v>
      </c>
      <c r="I212">
        <v>0</v>
      </c>
      <c r="J212">
        <v>0</v>
      </c>
      <c r="K212">
        <v>8.89</v>
      </c>
    </row>
    <row r="213" spans="1:11">
      <c r="A213">
        <v>874</v>
      </c>
      <c r="B213">
        <v>771</v>
      </c>
      <c r="C213">
        <v>918</v>
      </c>
      <c r="D213">
        <v>783</v>
      </c>
      <c r="E213">
        <v>17.62</v>
      </c>
      <c r="F213">
        <v>21.05</v>
      </c>
      <c r="G213">
        <v>21.57</v>
      </c>
      <c r="H213">
        <v>2.2200000000000002</v>
      </c>
      <c r="I213">
        <v>11.11</v>
      </c>
      <c r="J213">
        <v>10.53</v>
      </c>
      <c r="K213">
        <v>17.78</v>
      </c>
    </row>
    <row r="214" spans="1:11">
      <c r="A214">
        <v>910</v>
      </c>
      <c r="B214">
        <v>1030</v>
      </c>
      <c r="C214">
        <v>997</v>
      </c>
      <c r="D214">
        <v>1048</v>
      </c>
      <c r="E214">
        <v>17.62</v>
      </c>
      <c r="F214">
        <v>12.28</v>
      </c>
      <c r="G214">
        <v>13.73</v>
      </c>
      <c r="H214">
        <v>26.67</v>
      </c>
      <c r="I214">
        <v>3.7</v>
      </c>
      <c r="J214">
        <v>0</v>
      </c>
      <c r="K214">
        <v>0</v>
      </c>
    </row>
    <row r="215" spans="1:11">
      <c r="A215">
        <v>1164</v>
      </c>
      <c r="B215">
        <v>1271</v>
      </c>
      <c r="C215">
        <v>1037</v>
      </c>
      <c r="D215">
        <v>1156</v>
      </c>
      <c r="E215">
        <v>18.71</v>
      </c>
      <c r="F215">
        <v>15.79</v>
      </c>
      <c r="G215">
        <v>3.92</v>
      </c>
      <c r="H215">
        <v>13.33</v>
      </c>
      <c r="I215">
        <v>14.81</v>
      </c>
      <c r="J215">
        <v>0</v>
      </c>
      <c r="K215">
        <v>8.89</v>
      </c>
    </row>
    <row r="216" spans="1:11">
      <c r="A216">
        <v>1199</v>
      </c>
      <c r="B216">
        <v>1314</v>
      </c>
      <c r="C216">
        <v>1039</v>
      </c>
      <c r="D216">
        <v>1517</v>
      </c>
      <c r="E216">
        <v>13.65</v>
      </c>
      <c r="F216">
        <v>0</v>
      </c>
      <c r="G216">
        <v>9.8000000000000007</v>
      </c>
      <c r="H216">
        <v>20</v>
      </c>
      <c r="I216">
        <v>25.93</v>
      </c>
      <c r="J216">
        <v>0</v>
      </c>
      <c r="K216">
        <v>57.78</v>
      </c>
    </row>
    <row r="217" spans="1:11">
      <c r="A217">
        <v>695</v>
      </c>
      <c r="B217">
        <v>531</v>
      </c>
      <c r="C217">
        <v>1050</v>
      </c>
      <c r="D217">
        <v>578</v>
      </c>
      <c r="E217">
        <v>15.46</v>
      </c>
      <c r="F217">
        <v>29.82</v>
      </c>
      <c r="G217">
        <v>41.18</v>
      </c>
      <c r="H217">
        <v>4.4400000000000004</v>
      </c>
      <c r="I217">
        <v>-3.69</v>
      </c>
      <c r="J217">
        <v>0</v>
      </c>
      <c r="K217">
        <v>0</v>
      </c>
    </row>
    <row r="218" spans="1:11">
      <c r="A218">
        <v>1355</v>
      </c>
      <c r="B218">
        <v>1278</v>
      </c>
      <c r="C218">
        <v>1062</v>
      </c>
      <c r="D218">
        <v>1359</v>
      </c>
      <c r="E218">
        <v>16.059999999999999</v>
      </c>
      <c r="F218">
        <v>5.26</v>
      </c>
      <c r="G218">
        <v>7.84</v>
      </c>
      <c r="H218">
        <v>0</v>
      </c>
      <c r="I218">
        <v>33.33</v>
      </c>
      <c r="J218">
        <v>24.56</v>
      </c>
      <c r="K218">
        <v>-8.8800000000000008</v>
      </c>
    </row>
    <row r="219" spans="1:11">
      <c r="A219">
        <v>1620</v>
      </c>
      <c r="B219">
        <v>1718</v>
      </c>
      <c r="C219">
        <v>1069</v>
      </c>
      <c r="D219">
        <v>1805</v>
      </c>
      <c r="E219">
        <v>17.739999999999998</v>
      </c>
      <c r="F219">
        <v>-5.25</v>
      </c>
      <c r="G219">
        <v>-1.96</v>
      </c>
      <c r="H219">
        <v>0</v>
      </c>
      <c r="I219">
        <v>40.74</v>
      </c>
      <c r="J219">
        <v>22.81</v>
      </c>
      <c r="K219">
        <v>0</v>
      </c>
    </row>
    <row r="220" spans="1:11">
      <c r="A220">
        <v>904</v>
      </c>
      <c r="B220">
        <v>835</v>
      </c>
      <c r="C220">
        <v>1097</v>
      </c>
      <c r="D220">
        <v>776</v>
      </c>
      <c r="E220">
        <v>16.670000000000002</v>
      </c>
      <c r="F220">
        <v>31.58</v>
      </c>
      <c r="G220">
        <v>19.61</v>
      </c>
      <c r="H220">
        <v>8.89</v>
      </c>
      <c r="I220">
        <v>0</v>
      </c>
      <c r="J220">
        <v>0</v>
      </c>
      <c r="K220">
        <v>0</v>
      </c>
    </row>
    <row r="221" spans="1:11">
      <c r="A221">
        <v>679</v>
      </c>
      <c r="B221">
        <v>462</v>
      </c>
      <c r="C221">
        <v>1138</v>
      </c>
      <c r="D221">
        <v>756</v>
      </c>
      <c r="E221">
        <v>17.309999999999999</v>
      </c>
      <c r="F221">
        <v>0</v>
      </c>
      <c r="G221">
        <v>52.94</v>
      </c>
      <c r="H221">
        <v>4.17</v>
      </c>
      <c r="I221">
        <v>0</v>
      </c>
      <c r="J221">
        <v>0</v>
      </c>
      <c r="K221">
        <v>44.44</v>
      </c>
    </row>
    <row r="222" spans="1:11">
      <c r="A222">
        <v>712</v>
      </c>
      <c r="B222">
        <v>453</v>
      </c>
      <c r="C222">
        <v>1142</v>
      </c>
      <c r="D222">
        <v>490</v>
      </c>
      <c r="E222">
        <v>15.88</v>
      </c>
      <c r="F222">
        <v>42.11</v>
      </c>
      <c r="G222">
        <v>50.98</v>
      </c>
      <c r="H222">
        <v>-15.55</v>
      </c>
      <c r="I222">
        <v>-3.69</v>
      </c>
      <c r="J222">
        <v>0</v>
      </c>
      <c r="K222">
        <v>0</v>
      </c>
    </row>
    <row r="223" spans="1:11">
      <c r="A223">
        <v>1234</v>
      </c>
      <c r="B223">
        <v>1232</v>
      </c>
      <c r="C223">
        <v>1164</v>
      </c>
      <c r="D223">
        <v>950</v>
      </c>
      <c r="E223">
        <v>16.010000000000002</v>
      </c>
      <c r="F223">
        <v>33.33</v>
      </c>
      <c r="G223">
        <v>3.92</v>
      </c>
      <c r="H223">
        <v>2.2200000000000002</v>
      </c>
      <c r="I223">
        <v>11.11</v>
      </c>
      <c r="J223">
        <v>-1.74</v>
      </c>
      <c r="K223">
        <v>27.78</v>
      </c>
    </row>
    <row r="224" spans="1:11">
      <c r="A224">
        <v>1194</v>
      </c>
      <c r="B224">
        <v>1155</v>
      </c>
      <c r="C224">
        <v>1183</v>
      </c>
      <c r="D224">
        <v>1011</v>
      </c>
      <c r="E224">
        <v>19.190000000000001</v>
      </c>
      <c r="F224">
        <v>21.05</v>
      </c>
      <c r="G224">
        <v>5.88</v>
      </c>
      <c r="H224">
        <v>0</v>
      </c>
      <c r="I224">
        <v>7.41</v>
      </c>
      <c r="J224">
        <v>-1.74</v>
      </c>
      <c r="K224">
        <v>47.78</v>
      </c>
    </row>
    <row r="225" spans="1:11">
      <c r="A225">
        <v>1036</v>
      </c>
      <c r="B225">
        <v>1012</v>
      </c>
      <c r="C225">
        <v>1189</v>
      </c>
      <c r="D225">
        <v>984</v>
      </c>
      <c r="E225">
        <v>16.350000000000001</v>
      </c>
      <c r="F225">
        <v>20</v>
      </c>
      <c r="G225">
        <v>13.73</v>
      </c>
      <c r="H225">
        <v>8.33</v>
      </c>
      <c r="I225">
        <v>-3.69</v>
      </c>
      <c r="J225">
        <v>15.79</v>
      </c>
      <c r="K225">
        <v>36.67</v>
      </c>
    </row>
    <row r="226" spans="1:11">
      <c r="A226">
        <v>1270</v>
      </c>
      <c r="B226">
        <v>1127</v>
      </c>
      <c r="C226">
        <v>1207</v>
      </c>
      <c r="D226">
        <v>1205</v>
      </c>
      <c r="E226">
        <v>16.8</v>
      </c>
      <c r="F226">
        <v>12.28</v>
      </c>
      <c r="G226">
        <v>15.69</v>
      </c>
      <c r="H226">
        <v>2.2200000000000002</v>
      </c>
      <c r="I226">
        <v>22.22</v>
      </c>
      <c r="J226">
        <v>0</v>
      </c>
      <c r="K226">
        <v>20</v>
      </c>
    </row>
    <row r="227" spans="1:11">
      <c r="A227">
        <v>908</v>
      </c>
      <c r="B227">
        <v>818</v>
      </c>
      <c r="C227">
        <v>1211</v>
      </c>
      <c r="D227">
        <v>850</v>
      </c>
      <c r="E227">
        <v>16.329999999999998</v>
      </c>
      <c r="F227">
        <v>26.67</v>
      </c>
      <c r="G227">
        <v>29.41</v>
      </c>
      <c r="H227">
        <v>16.670000000000002</v>
      </c>
      <c r="I227">
        <v>-6.66</v>
      </c>
      <c r="J227">
        <v>-12.28</v>
      </c>
      <c r="K227">
        <v>0</v>
      </c>
    </row>
    <row r="228" spans="1:11">
      <c r="A228">
        <v>1115</v>
      </c>
      <c r="B228">
        <v>1097</v>
      </c>
      <c r="C228">
        <v>1216</v>
      </c>
      <c r="D228">
        <v>1210</v>
      </c>
      <c r="E228">
        <v>14.22</v>
      </c>
      <c r="F228">
        <v>0</v>
      </c>
      <c r="G228">
        <v>7.84</v>
      </c>
      <c r="H228">
        <v>4.4400000000000004</v>
      </c>
      <c r="I228">
        <v>0</v>
      </c>
      <c r="J228">
        <v>68.42</v>
      </c>
      <c r="K228">
        <v>0</v>
      </c>
    </row>
    <row r="229" spans="1:11">
      <c r="A229">
        <v>1115</v>
      </c>
      <c r="B229">
        <v>1097</v>
      </c>
      <c r="C229">
        <v>1216</v>
      </c>
      <c r="D229">
        <v>1210</v>
      </c>
      <c r="E229">
        <v>14.22</v>
      </c>
      <c r="F229">
        <v>0</v>
      </c>
      <c r="G229">
        <v>7.84</v>
      </c>
      <c r="H229">
        <v>4.4400000000000004</v>
      </c>
      <c r="I229">
        <v>0</v>
      </c>
      <c r="J229">
        <v>68.42</v>
      </c>
      <c r="K229">
        <v>0</v>
      </c>
    </row>
    <row r="230" spans="1:11">
      <c r="A230">
        <v>1036</v>
      </c>
      <c r="B230">
        <v>1189</v>
      </c>
      <c r="C230">
        <v>1219</v>
      </c>
      <c r="D230">
        <v>1335</v>
      </c>
      <c r="E230">
        <v>15.54</v>
      </c>
      <c r="F230">
        <v>7.02</v>
      </c>
      <c r="G230">
        <v>17.649999999999999</v>
      </c>
      <c r="H230">
        <v>33.33</v>
      </c>
      <c r="I230">
        <v>0</v>
      </c>
      <c r="J230">
        <v>3.51</v>
      </c>
      <c r="K230">
        <v>5.56</v>
      </c>
    </row>
    <row r="231" spans="1:11">
      <c r="A231">
        <v>1032</v>
      </c>
      <c r="B231">
        <v>909</v>
      </c>
      <c r="C231">
        <v>1246</v>
      </c>
      <c r="D231">
        <v>867</v>
      </c>
      <c r="E231">
        <v>16.86</v>
      </c>
      <c r="F231">
        <v>26.32</v>
      </c>
      <c r="G231">
        <v>17.649999999999999</v>
      </c>
      <c r="H231">
        <v>0</v>
      </c>
      <c r="I231">
        <v>0</v>
      </c>
      <c r="J231">
        <v>0</v>
      </c>
      <c r="K231">
        <v>45.56</v>
      </c>
    </row>
    <row r="232" spans="1:11">
      <c r="A232">
        <v>978</v>
      </c>
      <c r="B232">
        <v>770</v>
      </c>
      <c r="C232">
        <v>1263</v>
      </c>
      <c r="D232">
        <v>934</v>
      </c>
      <c r="E232">
        <v>15.84</v>
      </c>
      <c r="F232">
        <v>14.04</v>
      </c>
      <c r="G232">
        <v>35.29</v>
      </c>
      <c r="H232">
        <v>4.17</v>
      </c>
      <c r="I232">
        <v>11.11</v>
      </c>
      <c r="J232">
        <v>0</v>
      </c>
      <c r="K232">
        <v>0</v>
      </c>
    </row>
    <row r="233" spans="1:11">
      <c r="A233">
        <v>1028</v>
      </c>
      <c r="B233">
        <v>955</v>
      </c>
      <c r="C233">
        <v>1269</v>
      </c>
      <c r="D233">
        <v>896</v>
      </c>
      <c r="E233">
        <v>16.809999999999999</v>
      </c>
      <c r="F233">
        <v>28.07</v>
      </c>
      <c r="G233">
        <v>17.649999999999999</v>
      </c>
      <c r="H233">
        <v>6.67</v>
      </c>
      <c r="I233">
        <v>-3.69</v>
      </c>
      <c r="J233">
        <v>0</v>
      </c>
      <c r="K233">
        <v>16.670000000000002</v>
      </c>
    </row>
    <row r="234" spans="1:11">
      <c r="A234">
        <v>1109</v>
      </c>
      <c r="B234">
        <v>868</v>
      </c>
      <c r="C234">
        <v>1274</v>
      </c>
      <c r="D234">
        <v>1101</v>
      </c>
      <c r="E234">
        <v>15.97</v>
      </c>
      <c r="F234">
        <v>8.77</v>
      </c>
      <c r="G234">
        <v>31.37</v>
      </c>
      <c r="H234">
        <v>4.4400000000000004</v>
      </c>
      <c r="I234">
        <v>18.52</v>
      </c>
      <c r="J234">
        <v>0</v>
      </c>
      <c r="K234">
        <v>0</v>
      </c>
    </row>
    <row r="235" spans="1:11">
      <c r="A235">
        <v>1330</v>
      </c>
      <c r="B235">
        <v>1462</v>
      </c>
      <c r="C235">
        <v>1303</v>
      </c>
      <c r="D235">
        <v>1104</v>
      </c>
      <c r="E235">
        <v>19.62</v>
      </c>
      <c r="F235">
        <v>29.82</v>
      </c>
      <c r="G235">
        <v>-1.96</v>
      </c>
      <c r="H235">
        <v>6.67</v>
      </c>
      <c r="I235">
        <v>0</v>
      </c>
      <c r="J235">
        <v>0</v>
      </c>
      <c r="K235">
        <v>25.56</v>
      </c>
    </row>
    <row r="236" spans="1:11">
      <c r="A236">
        <v>1184</v>
      </c>
      <c r="B236">
        <v>1175</v>
      </c>
      <c r="C236">
        <v>1341</v>
      </c>
      <c r="D236">
        <v>1091</v>
      </c>
      <c r="E236">
        <v>16.73</v>
      </c>
      <c r="F236">
        <v>22.81</v>
      </c>
      <c r="G236">
        <v>13.73</v>
      </c>
      <c r="H236">
        <v>13.33</v>
      </c>
      <c r="I236">
        <v>0</v>
      </c>
      <c r="J236">
        <v>0</v>
      </c>
      <c r="K236">
        <v>3.33</v>
      </c>
    </row>
    <row r="237" spans="1:11">
      <c r="A237">
        <v>1172</v>
      </c>
      <c r="B237">
        <v>1112</v>
      </c>
      <c r="C237">
        <v>1348</v>
      </c>
      <c r="D237">
        <v>1193</v>
      </c>
      <c r="E237">
        <v>13.64</v>
      </c>
      <c r="F237">
        <v>17.54</v>
      </c>
      <c r="G237">
        <v>21.57</v>
      </c>
      <c r="H237">
        <v>17.78</v>
      </c>
      <c r="I237">
        <v>7.41</v>
      </c>
      <c r="J237">
        <v>0</v>
      </c>
      <c r="K237">
        <v>0</v>
      </c>
    </row>
    <row r="238" spans="1:11">
      <c r="A238">
        <v>1152</v>
      </c>
      <c r="B238">
        <v>1222</v>
      </c>
      <c r="C238">
        <v>1370</v>
      </c>
      <c r="D238">
        <v>1113</v>
      </c>
      <c r="E238">
        <v>16.73</v>
      </c>
      <c r="F238">
        <v>25</v>
      </c>
      <c r="G238">
        <v>13.73</v>
      </c>
      <c r="H238">
        <v>17.78</v>
      </c>
      <c r="I238">
        <v>-3.69</v>
      </c>
      <c r="J238">
        <v>0</v>
      </c>
      <c r="K238">
        <v>0</v>
      </c>
    </row>
    <row r="239" spans="1:11">
      <c r="A239">
        <v>1247</v>
      </c>
      <c r="B239">
        <v>992</v>
      </c>
      <c r="C239">
        <v>1381</v>
      </c>
      <c r="D239">
        <v>1160</v>
      </c>
      <c r="E239">
        <v>17.350000000000001</v>
      </c>
      <c r="F239">
        <v>12.28</v>
      </c>
      <c r="G239">
        <v>27.45</v>
      </c>
      <c r="H239">
        <v>0</v>
      </c>
      <c r="I239">
        <v>18.52</v>
      </c>
      <c r="J239">
        <v>0</v>
      </c>
      <c r="K239">
        <v>3.33</v>
      </c>
    </row>
    <row r="240" spans="1:11">
      <c r="A240">
        <v>1223</v>
      </c>
      <c r="B240">
        <v>1242</v>
      </c>
      <c r="C240">
        <v>1393</v>
      </c>
      <c r="D240">
        <v>1206</v>
      </c>
      <c r="E240">
        <v>18.75</v>
      </c>
      <c r="F240">
        <v>15.79</v>
      </c>
      <c r="G240">
        <v>9.8000000000000007</v>
      </c>
      <c r="H240">
        <v>11.11</v>
      </c>
      <c r="I240">
        <v>-7.4</v>
      </c>
      <c r="J240">
        <v>0</v>
      </c>
      <c r="K240">
        <v>35.56</v>
      </c>
    </row>
    <row r="241" spans="1:11">
      <c r="A241">
        <v>1186</v>
      </c>
      <c r="B241">
        <v>1030</v>
      </c>
      <c r="C241">
        <v>1403</v>
      </c>
      <c r="D241">
        <v>882</v>
      </c>
      <c r="E241">
        <v>15.94</v>
      </c>
      <c r="F241">
        <v>36.840000000000003</v>
      </c>
      <c r="G241">
        <v>17.649999999999999</v>
      </c>
      <c r="H241">
        <v>0</v>
      </c>
      <c r="I241">
        <v>0</v>
      </c>
      <c r="J241">
        <v>0</v>
      </c>
      <c r="K241">
        <v>0</v>
      </c>
    </row>
    <row r="242" spans="1:11">
      <c r="A242">
        <v>1661</v>
      </c>
      <c r="B242">
        <v>2156</v>
      </c>
      <c r="C242">
        <v>1407</v>
      </c>
      <c r="D242">
        <v>1811</v>
      </c>
      <c r="E242">
        <v>17.59</v>
      </c>
      <c r="F242">
        <v>13.33</v>
      </c>
      <c r="G242">
        <v>-7.4</v>
      </c>
      <c r="H242">
        <v>17.649999999999999</v>
      </c>
      <c r="I242">
        <v>11.11</v>
      </c>
      <c r="J242">
        <v>3.51</v>
      </c>
      <c r="K242">
        <v>0</v>
      </c>
    </row>
    <row r="243" spans="1:11">
      <c r="A243">
        <v>1613</v>
      </c>
      <c r="B243">
        <v>1414</v>
      </c>
      <c r="C243">
        <v>1424</v>
      </c>
      <c r="D243">
        <v>1744</v>
      </c>
      <c r="E243">
        <v>17.899999999999999</v>
      </c>
      <c r="F243">
        <v>0</v>
      </c>
      <c r="G243">
        <v>15.69</v>
      </c>
      <c r="H243">
        <v>0</v>
      </c>
      <c r="I243">
        <v>29.63</v>
      </c>
      <c r="J243">
        <v>0</v>
      </c>
      <c r="K243">
        <v>30</v>
      </c>
    </row>
    <row r="244" spans="1:11">
      <c r="A244">
        <v>1610</v>
      </c>
      <c r="B244">
        <v>1508</v>
      </c>
      <c r="C244">
        <v>1429</v>
      </c>
      <c r="D244">
        <v>1222</v>
      </c>
      <c r="E244">
        <v>17.66</v>
      </c>
      <c r="F244">
        <v>28.07</v>
      </c>
      <c r="G244">
        <v>5.88</v>
      </c>
      <c r="H244">
        <v>-6.25</v>
      </c>
      <c r="I244">
        <v>18.52</v>
      </c>
      <c r="J244">
        <v>-5.25</v>
      </c>
      <c r="K244">
        <v>18.89</v>
      </c>
    </row>
    <row r="245" spans="1:11">
      <c r="A245">
        <v>1643</v>
      </c>
      <c r="B245">
        <v>1647</v>
      </c>
      <c r="C245">
        <v>1429</v>
      </c>
      <c r="D245">
        <v>1507</v>
      </c>
      <c r="E245">
        <v>17.11</v>
      </c>
      <c r="F245">
        <v>14.04</v>
      </c>
      <c r="G245">
        <v>3.92</v>
      </c>
      <c r="H245">
        <v>0</v>
      </c>
      <c r="I245">
        <v>18.52</v>
      </c>
      <c r="J245">
        <v>8.77</v>
      </c>
      <c r="K245">
        <v>32.22</v>
      </c>
    </row>
    <row r="246" spans="1:11">
      <c r="A246">
        <v>1537</v>
      </c>
      <c r="B246">
        <v>1582</v>
      </c>
      <c r="C246">
        <v>1460</v>
      </c>
      <c r="D246">
        <v>1679</v>
      </c>
      <c r="E246">
        <v>19.39</v>
      </c>
      <c r="F246">
        <v>1.75</v>
      </c>
      <c r="G246">
        <v>5.88</v>
      </c>
      <c r="H246">
        <v>4.4400000000000004</v>
      </c>
      <c r="I246">
        <v>11.11</v>
      </c>
      <c r="J246">
        <v>5.26</v>
      </c>
      <c r="K246">
        <v>60</v>
      </c>
    </row>
    <row r="247" spans="1:11">
      <c r="A247">
        <v>1707</v>
      </c>
      <c r="B247">
        <v>1606</v>
      </c>
      <c r="C247">
        <v>1504</v>
      </c>
      <c r="D247">
        <v>1740</v>
      </c>
      <c r="E247">
        <v>18.78</v>
      </c>
      <c r="F247">
        <v>5.26</v>
      </c>
      <c r="G247">
        <v>9.8000000000000007</v>
      </c>
      <c r="H247">
        <v>0</v>
      </c>
      <c r="I247">
        <v>22.22</v>
      </c>
      <c r="J247">
        <v>0</v>
      </c>
      <c r="K247">
        <v>15.56</v>
      </c>
    </row>
    <row r="248" spans="1:11">
      <c r="A248">
        <v>1326</v>
      </c>
      <c r="B248">
        <v>1049</v>
      </c>
      <c r="C248">
        <v>1511</v>
      </c>
      <c r="D248">
        <v>1331</v>
      </c>
      <c r="E248">
        <v>17.79</v>
      </c>
      <c r="F248">
        <v>1.75</v>
      </c>
      <c r="G248">
        <v>23.53</v>
      </c>
      <c r="H248">
        <v>-4.43</v>
      </c>
      <c r="I248">
        <v>11.11</v>
      </c>
      <c r="J248">
        <v>0</v>
      </c>
      <c r="K248">
        <v>64.44</v>
      </c>
    </row>
    <row r="249" spans="1:11">
      <c r="A249">
        <v>1206</v>
      </c>
      <c r="B249">
        <v>958</v>
      </c>
      <c r="C249">
        <v>1566</v>
      </c>
      <c r="D249">
        <v>1162</v>
      </c>
      <c r="E249">
        <v>14.47</v>
      </c>
      <c r="F249">
        <v>14.04</v>
      </c>
      <c r="G249">
        <v>31.37</v>
      </c>
      <c r="H249">
        <v>6.67</v>
      </c>
      <c r="I249">
        <v>7.41</v>
      </c>
      <c r="J249">
        <v>0</v>
      </c>
      <c r="K249">
        <v>6.67</v>
      </c>
    </row>
    <row r="250" spans="1:11">
      <c r="A250">
        <v>1786</v>
      </c>
      <c r="B250">
        <v>1750</v>
      </c>
      <c r="C250">
        <v>1569</v>
      </c>
      <c r="D250">
        <v>1552</v>
      </c>
      <c r="E250">
        <v>17</v>
      </c>
      <c r="F250">
        <v>19.3</v>
      </c>
      <c r="G250">
        <v>5.88</v>
      </c>
      <c r="H250">
        <v>0</v>
      </c>
      <c r="I250">
        <v>18.52</v>
      </c>
      <c r="J250">
        <v>0</v>
      </c>
      <c r="K250">
        <v>20</v>
      </c>
    </row>
    <row r="251" spans="1:11">
      <c r="A251">
        <v>1788</v>
      </c>
      <c r="B251">
        <v>2100</v>
      </c>
      <c r="C251">
        <v>1579</v>
      </c>
      <c r="D251">
        <v>1901</v>
      </c>
      <c r="E251">
        <v>16.579999999999998</v>
      </c>
      <c r="F251">
        <v>10.53</v>
      </c>
      <c r="G251">
        <v>0</v>
      </c>
      <c r="H251">
        <v>13.33</v>
      </c>
      <c r="I251">
        <v>11.11</v>
      </c>
      <c r="J251">
        <v>0</v>
      </c>
      <c r="K251">
        <v>31.11</v>
      </c>
    </row>
    <row r="252" spans="1:11">
      <c r="A252">
        <v>1355</v>
      </c>
      <c r="B252">
        <v>1294</v>
      </c>
      <c r="C252">
        <v>1659</v>
      </c>
      <c r="D252">
        <v>1367</v>
      </c>
      <c r="E252">
        <v>15.53</v>
      </c>
      <c r="F252">
        <v>15.79</v>
      </c>
      <c r="G252">
        <v>17.649999999999999</v>
      </c>
      <c r="H252">
        <v>13.33</v>
      </c>
      <c r="I252">
        <v>0</v>
      </c>
      <c r="J252">
        <v>-1.74</v>
      </c>
      <c r="K252">
        <v>16.670000000000002</v>
      </c>
    </row>
    <row r="253" spans="1:11">
      <c r="A253">
        <v>1234</v>
      </c>
      <c r="B253">
        <v>970</v>
      </c>
      <c r="C253">
        <v>1713</v>
      </c>
      <c r="D253">
        <v>981</v>
      </c>
      <c r="E253">
        <v>15.49</v>
      </c>
      <c r="F253">
        <v>28.07</v>
      </c>
      <c r="G253">
        <v>27.45</v>
      </c>
      <c r="H253">
        <v>0</v>
      </c>
      <c r="I253">
        <v>-3.69</v>
      </c>
      <c r="J253">
        <v>0</v>
      </c>
      <c r="K253">
        <v>2.2200000000000002</v>
      </c>
    </row>
    <row r="254" spans="1:11">
      <c r="A254">
        <v>2443</v>
      </c>
      <c r="B254">
        <v>2451</v>
      </c>
      <c r="C254">
        <v>1769</v>
      </c>
      <c r="D254">
        <v>2729</v>
      </c>
      <c r="E254">
        <v>17.440000000000001</v>
      </c>
      <c r="F254">
        <v>0</v>
      </c>
      <c r="G254">
        <v>5.88</v>
      </c>
      <c r="H254">
        <v>6.25</v>
      </c>
      <c r="I254">
        <v>33.33</v>
      </c>
      <c r="J254">
        <v>-12.28</v>
      </c>
      <c r="K254">
        <v>11.11</v>
      </c>
    </row>
    <row r="255" spans="1:11">
      <c r="A255">
        <v>1779</v>
      </c>
      <c r="B255">
        <v>1554</v>
      </c>
      <c r="C255">
        <v>1819</v>
      </c>
      <c r="D255">
        <v>2058</v>
      </c>
      <c r="E255">
        <v>13.21</v>
      </c>
      <c r="F255">
        <v>0</v>
      </c>
      <c r="G255">
        <v>21.57</v>
      </c>
      <c r="H255">
        <v>8.89</v>
      </c>
      <c r="I255">
        <v>22.22</v>
      </c>
      <c r="J255">
        <v>8.77</v>
      </c>
      <c r="K255">
        <v>0</v>
      </c>
    </row>
    <row r="256" spans="1:11">
      <c r="A256">
        <v>1872</v>
      </c>
      <c r="B256">
        <v>2508</v>
      </c>
      <c r="C256">
        <v>1832</v>
      </c>
      <c r="D256">
        <v>2572</v>
      </c>
      <c r="E256">
        <v>15.05</v>
      </c>
      <c r="F256">
        <v>3.51</v>
      </c>
      <c r="G256">
        <v>1.96</v>
      </c>
      <c r="H256">
        <v>31.11</v>
      </c>
      <c r="I256">
        <v>3.7</v>
      </c>
      <c r="J256">
        <v>-1.74</v>
      </c>
      <c r="K256">
        <v>12.22</v>
      </c>
    </row>
    <row r="257" spans="1:11">
      <c r="A257">
        <v>2083</v>
      </c>
      <c r="B257">
        <v>1736</v>
      </c>
      <c r="C257">
        <v>1884</v>
      </c>
      <c r="D257">
        <v>1783</v>
      </c>
      <c r="E257">
        <v>16.05</v>
      </c>
      <c r="F257">
        <v>14.04</v>
      </c>
      <c r="G257">
        <v>13.73</v>
      </c>
      <c r="H257">
        <v>-4.43</v>
      </c>
      <c r="I257">
        <v>22.22</v>
      </c>
      <c r="J257">
        <v>0</v>
      </c>
      <c r="K257">
        <v>0</v>
      </c>
    </row>
    <row r="258" spans="1:11">
      <c r="A258">
        <v>2059</v>
      </c>
      <c r="B258">
        <v>1716</v>
      </c>
      <c r="C258">
        <v>1896</v>
      </c>
      <c r="D258">
        <v>2227</v>
      </c>
      <c r="E258">
        <v>17.89</v>
      </c>
      <c r="F258">
        <v>-7.01</v>
      </c>
      <c r="G258">
        <v>15.69</v>
      </c>
      <c r="H258">
        <v>-2.21</v>
      </c>
      <c r="I258">
        <v>22.22</v>
      </c>
      <c r="J258">
        <v>0</v>
      </c>
      <c r="K258">
        <v>31.11</v>
      </c>
    </row>
    <row r="259" spans="1:11">
      <c r="A259">
        <v>1491</v>
      </c>
      <c r="B259">
        <v>1192</v>
      </c>
      <c r="C259">
        <v>1926</v>
      </c>
      <c r="D259">
        <v>1355</v>
      </c>
      <c r="E259">
        <v>17.23</v>
      </c>
      <c r="F259">
        <v>12.28</v>
      </c>
      <c r="G259">
        <v>21.57</v>
      </c>
      <c r="H259">
        <v>-4.43</v>
      </c>
      <c r="I259">
        <v>0</v>
      </c>
      <c r="J259">
        <v>-1.74</v>
      </c>
      <c r="K259">
        <v>52.22</v>
      </c>
    </row>
    <row r="260" spans="1:11">
      <c r="A260">
        <v>1704</v>
      </c>
      <c r="B260">
        <v>1727</v>
      </c>
      <c r="C260">
        <v>1932</v>
      </c>
      <c r="D260">
        <v>2251</v>
      </c>
      <c r="E260">
        <v>14.98</v>
      </c>
      <c r="F260">
        <v>-6.66</v>
      </c>
      <c r="G260">
        <v>16.670000000000002</v>
      </c>
      <c r="H260">
        <v>17.78</v>
      </c>
      <c r="I260">
        <v>7.41</v>
      </c>
      <c r="J260">
        <v>12.28</v>
      </c>
      <c r="K260">
        <v>17.78</v>
      </c>
    </row>
    <row r="261" spans="1:11">
      <c r="A261">
        <v>1634</v>
      </c>
      <c r="B261">
        <v>1457</v>
      </c>
      <c r="C261">
        <v>1939</v>
      </c>
      <c r="D261">
        <v>1258</v>
      </c>
      <c r="E261">
        <v>16.920000000000002</v>
      </c>
      <c r="F261">
        <v>28.07</v>
      </c>
      <c r="G261">
        <v>13.73</v>
      </c>
      <c r="H261">
        <v>-2.21</v>
      </c>
      <c r="I261">
        <v>0</v>
      </c>
      <c r="J261">
        <v>0</v>
      </c>
      <c r="K261">
        <v>3.33</v>
      </c>
    </row>
    <row r="262" spans="1:11">
      <c r="A262">
        <v>2534</v>
      </c>
      <c r="B262">
        <v>2962</v>
      </c>
      <c r="C262">
        <v>1956</v>
      </c>
      <c r="D262">
        <v>2601</v>
      </c>
      <c r="E262">
        <v>16.04</v>
      </c>
      <c r="F262">
        <v>10.53</v>
      </c>
      <c r="G262">
        <v>-3.91</v>
      </c>
      <c r="H262">
        <v>11.11</v>
      </c>
      <c r="I262">
        <v>18.52</v>
      </c>
      <c r="J262">
        <v>-1.74</v>
      </c>
      <c r="K262">
        <v>4.4400000000000004</v>
      </c>
    </row>
    <row r="263" spans="1:11">
      <c r="A263">
        <v>1363</v>
      </c>
      <c r="B263">
        <v>1125</v>
      </c>
      <c r="C263">
        <v>1962</v>
      </c>
      <c r="D263">
        <v>1408</v>
      </c>
      <c r="E263">
        <v>14.43</v>
      </c>
      <c r="F263">
        <v>12.28</v>
      </c>
      <c r="G263">
        <v>33.33</v>
      </c>
      <c r="H263">
        <v>13.33</v>
      </c>
      <c r="I263">
        <v>0</v>
      </c>
      <c r="J263">
        <v>-1.74</v>
      </c>
      <c r="K263">
        <v>0</v>
      </c>
    </row>
    <row r="264" spans="1:11">
      <c r="A264">
        <v>2033</v>
      </c>
      <c r="B264">
        <v>2154</v>
      </c>
      <c r="C264">
        <v>2015</v>
      </c>
      <c r="D264">
        <v>1568</v>
      </c>
      <c r="E264">
        <v>15.31</v>
      </c>
      <c r="F264">
        <v>31.58</v>
      </c>
      <c r="G264">
        <v>0</v>
      </c>
      <c r="H264">
        <v>4.41</v>
      </c>
      <c r="I264">
        <v>0</v>
      </c>
      <c r="J264">
        <v>0</v>
      </c>
      <c r="K264">
        <v>17.78</v>
      </c>
    </row>
    <row r="265" spans="1:11">
      <c r="A265">
        <v>1591</v>
      </c>
      <c r="B265">
        <v>1398</v>
      </c>
      <c r="C265">
        <v>2030</v>
      </c>
      <c r="D265">
        <v>1546</v>
      </c>
      <c r="E265">
        <v>18.420000000000002</v>
      </c>
      <c r="F265">
        <v>10.53</v>
      </c>
      <c r="G265">
        <v>17.649999999999999</v>
      </c>
      <c r="H265">
        <v>0</v>
      </c>
      <c r="I265">
        <v>-3.69</v>
      </c>
      <c r="J265">
        <v>-1.74</v>
      </c>
      <c r="K265">
        <v>40</v>
      </c>
    </row>
    <row r="266" spans="1:11">
      <c r="A266">
        <v>1519</v>
      </c>
      <c r="B266">
        <v>1262</v>
      </c>
      <c r="C266">
        <v>2158</v>
      </c>
      <c r="D266">
        <v>1568</v>
      </c>
      <c r="E266">
        <v>14.46</v>
      </c>
      <c r="F266">
        <v>12.28</v>
      </c>
      <c r="G266">
        <v>27.45</v>
      </c>
      <c r="H266">
        <v>8.89</v>
      </c>
      <c r="I266">
        <v>0</v>
      </c>
      <c r="J266">
        <v>-1.74</v>
      </c>
      <c r="K266">
        <v>10</v>
      </c>
    </row>
    <row r="267" spans="1:11">
      <c r="A267">
        <v>1495</v>
      </c>
      <c r="B267">
        <v>1104</v>
      </c>
      <c r="C267">
        <v>2234</v>
      </c>
      <c r="D267">
        <v>1625</v>
      </c>
      <c r="E267">
        <v>18.72</v>
      </c>
      <c r="F267">
        <v>0</v>
      </c>
      <c r="G267">
        <v>33.33</v>
      </c>
      <c r="H267">
        <v>0</v>
      </c>
      <c r="I267">
        <v>0</v>
      </c>
      <c r="J267">
        <v>-1.74</v>
      </c>
      <c r="K267">
        <v>16.670000000000002</v>
      </c>
    </row>
    <row r="268" spans="1:11">
      <c r="A268">
        <v>2348</v>
      </c>
      <c r="B268">
        <v>2550</v>
      </c>
      <c r="C268">
        <v>2298</v>
      </c>
      <c r="D268">
        <v>2605</v>
      </c>
      <c r="E268">
        <v>14.4</v>
      </c>
      <c r="F268">
        <v>7.02</v>
      </c>
      <c r="G268">
        <v>5.88</v>
      </c>
      <c r="H268">
        <v>14.58</v>
      </c>
      <c r="I268">
        <v>7.41</v>
      </c>
      <c r="J268">
        <v>7.02</v>
      </c>
      <c r="K268">
        <v>21.11</v>
      </c>
    </row>
    <row r="269" spans="1:11">
      <c r="A269">
        <v>1759</v>
      </c>
      <c r="B269">
        <v>1547</v>
      </c>
      <c r="C269">
        <v>2320</v>
      </c>
      <c r="D269">
        <v>1523</v>
      </c>
      <c r="E269">
        <v>15.12</v>
      </c>
      <c r="F269">
        <v>22.81</v>
      </c>
      <c r="G269">
        <v>17.649999999999999</v>
      </c>
      <c r="H269">
        <v>4.4400000000000004</v>
      </c>
      <c r="I269">
        <v>-7.4</v>
      </c>
      <c r="J269">
        <v>0</v>
      </c>
      <c r="K269">
        <v>11.11</v>
      </c>
    </row>
    <row r="270" spans="1:11">
      <c r="A270">
        <v>1790</v>
      </c>
      <c r="B270">
        <v>1595</v>
      </c>
      <c r="C270">
        <v>2332</v>
      </c>
      <c r="D270">
        <v>1991</v>
      </c>
      <c r="E270">
        <v>16.850000000000001</v>
      </c>
      <c r="F270">
        <v>5.26</v>
      </c>
      <c r="G270">
        <v>21.57</v>
      </c>
      <c r="H270">
        <v>11.11</v>
      </c>
      <c r="I270">
        <v>0</v>
      </c>
      <c r="J270">
        <v>0</v>
      </c>
      <c r="K270">
        <v>-1.1000000000000001</v>
      </c>
    </row>
    <row r="271" spans="1:11">
      <c r="A271">
        <v>2014</v>
      </c>
      <c r="B271">
        <v>1965</v>
      </c>
      <c r="C271">
        <v>2365</v>
      </c>
      <c r="D271">
        <v>2468</v>
      </c>
      <c r="E271">
        <v>14.27</v>
      </c>
      <c r="F271">
        <v>1.75</v>
      </c>
      <c r="G271">
        <v>18.52</v>
      </c>
      <c r="H271">
        <v>16.670000000000002</v>
      </c>
      <c r="I271">
        <v>6.67</v>
      </c>
      <c r="J271">
        <v>15.79</v>
      </c>
      <c r="K271">
        <v>-24.43</v>
      </c>
    </row>
    <row r="272" spans="1:11">
      <c r="A272">
        <v>2516</v>
      </c>
      <c r="B272">
        <v>3039</v>
      </c>
      <c r="C272">
        <v>2398</v>
      </c>
      <c r="D272">
        <v>2519</v>
      </c>
      <c r="E272">
        <v>18.899999999999999</v>
      </c>
      <c r="F272">
        <v>12.28</v>
      </c>
      <c r="G272">
        <v>-7.83</v>
      </c>
      <c r="H272">
        <v>11.11</v>
      </c>
      <c r="I272">
        <v>-3.69</v>
      </c>
      <c r="J272">
        <v>7.02</v>
      </c>
      <c r="K272">
        <v>-3.32</v>
      </c>
    </row>
    <row r="273" spans="1:11">
      <c r="A273">
        <v>2370</v>
      </c>
      <c r="B273">
        <v>2982</v>
      </c>
      <c r="C273">
        <v>2419</v>
      </c>
      <c r="D273">
        <v>2548</v>
      </c>
      <c r="E273">
        <v>15.33</v>
      </c>
      <c r="F273">
        <v>15.79</v>
      </c>
      <c r="G273">
        <v>0</v>
      </c>
      <c r="H273">
        <v>22.22</v>
      </c>
      <c r="I273">
        <v>-3.69</v>
      </c>
      <c r="J273">
        <v>-1.74</v>
      </c>
      <c r="K273">
        <v>10</v>
      </c>
    </row>
    <row r="274" spans="1:11">
      <c r="A274">
        <v>1684</v>
      </c>
      <c r="B274">
        <v>1664</v>
      </c>
      <c r="C274">
        <v>2450</v>
      </c>
      <c r="D274">
        <v>1911</v>
      </c>
      <c r="E274">
        <v>17.46</v>
      </c>
      <c r="F274">
        <v>8.77</v>
      </c>
      <c r="G274">
        <v>18.52</v>
      </c>
      <c r="H274">
        <v>16.670000000000002</v>
      </c>
      <c r="I274">
        <v>-18.510000000000002</v>
      </c>
      <c r="J274">
        <v>-5.25</v>
      </c>
      <c r="K274">
        <v>6.67</v>
      </c>
    </row>
    <row r="275" spans="1:11">
      <c r="A275">
        <v>2149</v>
      </c>
      <c r="B275">
        <v>1921</v>
      </c>
      <c r="C275">
        <v>2503</v>
      </c>
      <c r="D275">
        <v>2342</v>
      </c>
      <c r="E275">
        <v>19.04</v>
      </c>
      <c r="F275">
        <v>-5.25</v>
      </c>
      <c r="G275">
        <v>11.11</v>
      </c>
      <c r="H275">
        <v>0</v>
      </c>
      <c r="I275">
        <v>-3.69</v>
      </c>
      <c r="J275">
        <v>15.79</v>
      </c>
      <c r="K275">
        <v>32.22</v>
      </c>
    </row>
    <row r="276" spans="1:11">
      <c r="A276">
        <v>1701</v>
      </c>
      <c r="B276">
        <v>1278</v>
      </c>
      <c r="C276">
        <v>2558</v>
      </c>
      <c r="D276">
        <v>1502</v>
      </c>
      <c r="E276">
        <v>15.77</v>
      </c>
      <c r="F276">
        <v>17.54</v>
      </c>
      <c r="G276">
        <v>31.37</v>
      </c>
      <c r="H276">
        <v>0</v>
      </c>
      <c r="I276">
        <v>-3.69</v>
      </c>
      <c r="J276">
        <v>0</v>
      </c>
      <c r="K276">
        <v>0</v>
      </c>
    </row>
    <row r="277" spans="1:11">
      <c r="A277">
        <v>2358</v>
      </c>
      <c r="B277">
        <v>2085</v>
      </c>
      <c r="C277">
        <v>2560</v>
      </c>
      <c r="D277">
        <v>1774</v>
      </c>
      <c r="E277">
        <v>17.63</v>
      </c>
      <c r="F277">
        <v>24.56</v>
      </c>
      <c r="G277">
        <v>7.84</v>
      </c>
      <c r="H277">
        <v>-4.43</v>
      </c>
      <c r="I277">
        <v>0</v>
      </c>
      <c r="J277">
        <v>0</v>
      </c>
      <c r="K277">
        <v>2.2200000000000002</v>
      </c>
    </row>
    <row r="278" spans="1:11">
      <c r="A278">
        <v>3022</v>
      </c>
      <c r="B278">
        <v>3240</v>
      </c>
      <c r="C278">
        <v>2603</v>
      </c>
      <c r="D278">
        <v>2701</v>
      </c>
      <c r="E278">
        <v>16</v>
      </c>
      <c r="F278">
        <v>17.54</v>
      </c>
      <c r="G278">
        <v>0</v>
      </c>
      <c r="H278">
        <v>6.67</v>
      </c>
      <c r="I278">
        <v>11.11</v>
      </c>
      <c r="J278">
        <v>0</v>
      </c>
      <c r="K278">
        <v>0</v>
      </c>
    </row>
    <row r="279" spans="1:11">
      <c r="A279">
        <v>1815</v>
      </c>
      <c r="B279">
        <v>1444</v>
      </c>
      <c r="C279">
        <v>2649</v>
      </c>
      <c r="D279">
        <v>2160</v>
      </c>
      <c r="E279">
        <v>15.11</v>
      </c>
      <c r="F279">
        <v>0</v>
      </c>
      <c r="G279">
        <v>33.33</v>
      </c>
      <c r="H279">
        <v>11.11</v>
      </c>
      <c r="I279">
        <v>3.7</v>
      </c>
      <c r="J279">
        <v>0</v>
      </c>
      <c r="K279">
        <v>0</v>
      </c>
    </row>
    <row r="280" spans="1:11">
      <c r="A280">
        <v>2209</v>
      </c>
      <c r="B280">
        <v>1951</v>
      </c>
      <c r="C280">
        <v>2817</v>
      </c>
      <c r="D280">
        <v>2016</v>
      </c>
      <c r="E280">
        <v>15.66</v>
      </c>
      <c r="F280">
        <v>17.54</v>
      </c>
      <c r="G280">
        <v>17.649999999999999</v>
      </c>
      <c r="H280">
        <v>6.67</v>
      </c>
      <c r="I280">
        <v>-3.69</v>
      </c>
      <c r="J280">
        <v>0</v>
      </c>
      <c r="K280">
        <v>0</v>
      </c>
    </row>
    <row r="281" spans="1:11">
      <c r="A281">
        <v>2120</v>
      </c>
      <c r="B281">
        <v>1640</v>
      </c>
      <c r="C281">
        <v>2825</v>
      </c>
      <c r="D281">
        <v>2219</v>
      </c>
      <c r="E281">
        <v>17.46</v>
      </c>
      <c r="F281">
        <v>0</v>
      </c>
      <c r="G281">
        <v>23.53</v>
      </c>
      <c r="H281">
        <v>0</v>
      </c>
      <c r="I281">
        <v>0</v>
      </c>
      <c r="J281">
        <v>0</v>
      </c>
      <c r="K281">
        <v>34.44</v>
      </c>
    </row>
    <row r="282" spans="1:11">
      <c r="A282">
        <v>2640</v>
      </c>
      <c r="B282">
        <v>2870</v>
      </c>
      <c r="C282">
        <v>3030</v>
      </c>
      <c r="D282">
        <v>2869</v>
      </c>
      <c r="E282">
        <v>19.02</v>
      </c>
      <c r="F282">
        <v>8.77</v>
      </c>
      <c r="G282">
        <v>5.56</v>
      </c>
      <c r="H282">
        <v>14.58</v>
      </c>
      <c r="I282">
        <v>-11.1</v>
      </c>
      <c r="J282">
        <v>-3.5</v>
      </c>
      <c r="K282">
        <v>0</v>
      </c>
    </row>
    <row r="283" spans="1:11">
      <c r="A283">
        <v>2803</v>
      </c>
      <c r="B283">
        <v>3264</v>
      </c>
      <c r="C283">
        <v>3085</v>
      </c>
      <c r="D283">
        <v>2565</v>
      </c>
      <c r="E283">
        <v>19.72</v>
      </c>
      <c r="F283">
        <v>19.3</v>
      </c>
      <c r="G283">
        <v>-3.91</v>
      </c>
      <c r="H283">
        <v>11.11</v>
      </c>
      <c r="I283">
        <v>-18.510000000000002</v>
      </c>
      <c r="J283">
        <v>-3.5</v>
      </c>
      <c r="K283">
        <v>0</v>
      </c>
    </row>
    <row r="284" spans="1:11">
      <c r="A284">
        <v>2677</v>
      </c>
      <c r="B284">
        <v>2296</v>
      </c>
      <c r="C284">
        <v>3305</v>
      </c>
      <c r="D284">
        <v>3297</v>
      </c>
      <c r="E284">
        <v>14.3</v>
      </c>
      <c r="F284">
        <v>-3.5</v>
      </c>
      <c r="G284">
        <v>23.53</v>
      </c>
      <c r="H284">
        <v>13.33</v>
      </c>
      <c r="I284">
        <v>7.41</v>
      </c>
      <c r="J284">
        <v>0</v>
      </c>
      <c r="K284">
        <v>0</v>
      </c>
    </row>
    <row r="285" spans="1:11">
      <c r="A285">
        <v>3695</v>
      </c>
      <c r="B285">
        <v>3330</v>
      </c>
      <c r="C285">
        <v>3841</v>
      </c>
      <c r="D285">
        <v>3838</v>
      </c>
      <c r="E285">
        <v>17.829999999999998</v>
      </c>
      <c r="F285">
        <v>0</v>
      </c>
      <c r="G285">
        <v>7.84</v>
      </c>
      <c r="H285">
        <v>0</v>
      </c>
      <c r="I285">
        <v>3.7</v>
      </c>
      <c r="J285">
        <v>1.75</v>
      </c>
      <c r="K285">
        <v>22.22</v>
      </c>
    </row>
    <row r="286" spans="1:11">
      <c r="A286">
        <v>3710</v>
      </c>
      <c r="B286">
        <v>3768</v>
      </c>
      <c r="C286">
        <v>3912</v>
      </c>
      <c r="D286">
        <v>2930</v>
      </c>
      <c r="E286">
        <v>16.5</v>
      </c>
      <c r="F286">
        <v>19.3</v>
      </c>
      <c r="G286">
        <v>-3.91</v>
      </c>
      <c r="H286">
        <v>-2.21</v>
      </c>
      <c r="I286">
        <v>-11.1</v>
      </c>
      <c r="J286">
        <v>14.04</v>
      </c>
      <c r="K286">
        <v>15.56</v>
      </c>
    </row>
    <row r="287" spans="1:11">
      <c r="A287">
        <v>2006</v>
      </c>
      <c r="B287">
        <v>1191</v>
      </c>
      <c r="C287">
        <v>4050</v>
      </c>
      <c r="D287">
        <v>2132</v>
      </c>
      <c r="E287">
        <v>12.82</v>
      </c>
      <c r="F287">
        <v>0</v>
      </c>
      <c r="G287">
        <v>52.94</v>
      </c>
      <c r="H287">
        <v>0</v>
      </c>
      <c r="I287">
        <v>0</v>
      </c>
      <c r="J287">
        <v>0</v>
      </c>
      <c r="K287">
        <v>0</v>
      </c>
    </row>
    <row r="288" spans="1:11">
      <c r="A288">
        <v>3710</v>
      </c>
      <c r="B288">
        <v>4298</v>
      </c>
      <c r="C288">
        <v>4391</v>
      </c>
      <c r="D288">
        <v>3982</v>
      </c>
      <c r="E288">
        <v>15.08</v>
      </c>
      <c r="F288">
        <v>12.28</v>
      </c>
      <c r="G288">
        <v>3.92</v>
      </c>
      <c r="H288">
        <v>17.78</v>
      </c>
      <c r="I288">
        <v>-14.8</v>
      </c>
      <c r="J288">
        <v>-3.5</v>
      </c>
      <c r="K288">
        <v>5.56</v>
      </c>
    </row>
    <row r="289" spans="1:11">
      <c r="A289">
        <v>5066</v>
      </c>
      <c r="B289">
        <v>6010</v>
      </c>
      <c r="C289">
        <v>5058</v>
      </c>
      <c r="D289">
        <v>4808</v>
      </c>
      <c r="E289">
        <v>14.35</v>
      </c>
      <c r="F289">
        <v>15.79</v>
      </c>
      <c r="G289">
        <v>-3.91</v>
      </c>
      <c r="H289">
        <v>11.11</v>
      </c>
      <c r="I289">
        <v>-3.69</v>
      </c>
      <c r="J289">
        <v>-3.5</v>
      </c>
      <c r="K289">
        <v>7.78</v>
      </c>
    </row>
    <row r="290" spans="1:11">
      <c r="A290">
        <v>4643</v>
      </c>
      <c r="B290">
        <v>3452</v>
      </c>
      <c r="C290">
        <v>6396</v>
      </c>
      <c r="D290">
        <v>4836</v>
      </c>
      <c r="E290">
        <v>15.88</v>
      </c>
      <c r="F290">
        <v>0</v>
      </c>
      <c r="G290">
        <v>21.57</v>
      </c>
      <c r="H290">
        <v>0</v>
      </c>
      <c r="I290">
        <v>0</v>
      </c>
      <c r="J290">
        <v>0</v>
      </c>
      <c r="K290">
        <v>0</v>
      </c>
    </row>
    <row r="291" spans="1:11">
      <c r="A291">
        <v>7188</v>
      </c>
      <c r="B291">
        <v>6203</v>
      </c>
      <c r="C291">
        <v>8212</v>
      </c>
      <c r="D291">
        <v>6176</v>
      </c>
      <c r="F291">
        <v>12.28</v>
      </c>
      <c r="G291">
        <v>9.8000000000000007</v>
      </c>
      <c r="H291">
        <v>0</v>
      </c>
      <c r="I291">
        <v>0</v>
      </c>
      <c r="J291">
        <v>0</v>
      </c>
      <c r="K29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LEGION</cp:lastModifiedBy>
  <dcterms:created xsi:type="dcterms:W3CDTF">2006-09-16T00:00:00Z</dcterms:created>
  <dcterms:modified xsi:type="dcterms:W3CDTF">2023-03-15T17:11:27Z</dcterms:modified>
</cp:coreProperties>
</file>