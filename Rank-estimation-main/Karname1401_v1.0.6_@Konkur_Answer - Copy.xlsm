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درس\03_year\_کارنامه\"/>
    </mc:Choice>
  </mc:AlternateContent>
  <xr:revisionPtr revIDLastSave="0" documentId="13_ncr:1_{034BC167-9620-412E-8729-F82CC5257F83}" xr6:coauthVersionLast="47" xr6:coauthVersionMax="47" xr10:uidLastSave="{00000000-0000-0000-0000-000000000000}"/>
  <bookViews>
    <workbookView xWindow="-120" yWindow="-120" windowWidth="24240" windowHeight="13290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5" i="1" l="1"/>
  <c r="I78" i="1"/>
  <c r="G55" i="1"/>
  <c r="I88" i="1"/>
  <c r="G60" i="1"/>
  <c r="I89" i="1"/>
  <c r="G29" i="1"/>
  <c r="G94" i="1"/>
  <c r="K49" i="1"/>
  <c r="G16" i="1"/>
  <c r="K17" i="1"/>
  <c r="G96" i="1"/>
  <c r="M90" i="1"/>
  <c r="I90" i="1"/>
  <c r="K16" i="1"/>
  <c r="I31" i="1"/>
  <c r="K46" i="1"/>
  <c r="M70" i="1"/>
  <c r="M14" i="1"/>
  <c r="I60" i="1"/>
  <c r="M97" i="1"/>
  <c r="K52" i="1"/>
  <c r="K32" i="1"/>
  <c r="K22" i="1"/>
  <c r="I10" i="1"/>
  <c r="M65" i="1"/>
  <c r="K83" i="1"/>
  <c r="M85" i="1"/>
  <c r="G30" i="1"/>
  <c r="I15" i="1"/>
  <c r="I8" i="1"/>
  <c r="K75" i="1"/>
  <c r="M44" i="1"/>
  <c r="M15" i="1"/>
  <c r="M54" i="1"/>
  <c r="M82" i="1"/>
  <c r="I48" i="1"/>
  <c r="M7" i="1"/>
  <c r="M35" i="1"/>
  <c r="M18" i="1"/>
  <c r="M77" i="1"/>
  <c r="G59" i="1"/>
  <c r="M66" i="1"/>
  <c r="I65" i="1"/>
  <c r="M40" i="1"/>
  <c r="K45" i="1"/>
  <c r="M68" i="1"/>
  <c r="M26" i="1"/>
  <c r="M79" i="1"/>
  <c r="G43" i="1"/>
  <c r="K7" i="1"/>
  <c r="K20" i="1"/>
  <c r="G71" i="1"/>
  <c r="I32" i="1"/>
  <c r="M89" i="1"/>
  <c r="K88" i="1"/>
  <c r="G77" i="1"/>
  <c r="G86" i="1"/>
  <c r="G7" i="1"/>
  <c r="G67" i="1"/>
  <c r="G13" i="1"/>
  <c r="I16" i="1"/>
  <c r="M33" i="1"/>
  <c r="K36" i="1"/>
  <c r="K27" i="1"/>
  <c r="K95" i="1"/>
  <c r="G90" i="1"/>
  <c r="G95" i="1"/>
  <c r="I72" i="1"/>
  <c r="I49" i="1"/>
  <c r="G44" i="1"/>
  <c r="M52" i="1"/>
  <c r="G87" i="1"/>
  <c r="I80" i="1"/>
  <c r="K14" i="1"/>
  <c r="M76" i="1"/>
  <c r="M81" i="1"/>
  <c r="G66" i="1"/>
  <c r="M8" i="1"/>
  <c r="K66" i="1"/>
  <c r="K56" i="1"/>
  <c r="K44" i="1"/>
  <c r="I59" i="1"/>
  <c r="I33" i="1"/>
  <c r="K73" i="1"/>
  <c r="M49" i="1"/>
  <c r="G65" i="1"/>
  <c r="G53" i="1"/>
  <c r="I21" i="1"/>
  <c r="M61" i="1"/>
  <c r="I29" i="1"/>
  <c r="K65" i="1"/>
  <c r="M62" i="1"/>
  <c r="K12" i="1"/>
  <c r="M25" i="1"/>
  <c r="M23" i="1"/>
  <c r="G78" i="1"/>
  <c r="M9" i="1"/>
  <c r="M38" i="1"/>
  <c r="M71" i="1"/>
  <c r="I93" i="1"/>
  <c r="K31" i="1"/>
  <c r="K18" i="1"/>
  <c r="K33" i="1"/>
  <c r="M74" i="1"/>
  <c r="I54" i="1"/>
  <c r="I94" i="1"/>
  <c r="K55" i="1"/>
  <c r="I14" i="1"/>
  <c r="M50" i="1"/>
  <c r="I30" i="1"/>
  <c r="G84" i="1"/>
  <c r="I76" i="1"/>
  <c r="G50" i="1"/>
  <c r="M69" i="1"/>
  <c r="G51" i="1"/>
  <c r="G26" i="1"/>
  <c r="I19" i="1"/>
  <c r="I36" i="1"/>
  <c r="K37" i="1"/>
  <c r="I57" i="1"/>
  <c r="M16" i="1"/>
  <c r="G32" i="1"/>
  <c r="I71" i="1"/>
  <c r="M59" i="1"/>
  <c r="G25" i="1"/>
  <c r="M30" i="1"/>
  <c r="K10" i="1"/>
  <c r="K90" i="1"/>
  <c r="I51" i="1"/>
  <c r="I42" i="1"/>
  <c r="I70" i="1"/>
  <c r="M31" i="1"/>
  <c r="G70" i="1"/>
  <c r="G24" i="1"/>
  <c r="I37" i="1"/>
  <c r="G11" i="1"/>
  <c r="M12" i="1"/>
  <c r="K11" i="1"/>
  <c r="M73" i="1"/>
  <c r="G45" i="1"/>
  <c r="G89" i="1"/>
  <c r="G74" i="1"/>
  <c r="I74" i="1"/>
  <c r="K59" i="1"/>
  <c r="G21" i="1"/>
  <c r="I46" i="1"/>
  <c r="G35" i="1"/>
  <c r="K54" i="1"/>
  <c r="K62" i="1"/>
  <c r="K72" i="1"/>
  <c r="I13" i="1"/>
  <c r="I77" i="1"/>
  <c r="M94" i="1"/>
  <c r="K43" i="1"/>
  <c r="G18" i="1"/>
  <c r="G62" i="1"/>
  <c r="I83" i="1"/>
  <c r="K57" i="1"/>
  <c r="M13" i="1"/>
  <c r="K40" i="1"/>
  <c r="K13" i="1"/>
  <c r="M28" i="1"/>
  <c r="G23" i="1"/>
  <c r="I64" i="1"/>
  <c r="K94" i="1"/>
  <c r="G15" i="1"/>
  <c r="K48" i="1"/>
  <c r="K79" i="1"/>
  <c r="G82" i="1"/>
  <c r="M45" i="1"/>
  <c r="G19" i="1"/>
  <c r="I84" i="1"/>
  <c r="M64" i="1"/>
  <c r="I35" i="1"/>
  <c r="K86" i="1"/>
  <c r="M63" i="1"/>
  <c r="G8" i="1"/>
  <c r="M95" i="1"/>
  <c r="K53" i="1"/>
  <c r="K26" i="1"/>
  <c r="K8" i="1"/>
  <c r="M27" i="1"/>
  <c r="M37" i="1"/>
  <c r="I9" i="1"/>
  <c r="I12" i="1"/>
  <c r="G33" i="1"/>
  <c r="G41" i="1"/>
  <c r="I68" i="1"/>
  <c r="K69" i="1"/>
  <c r="G36" i="1"/>
  <c r="G48" i="1"/>
  <c r="I7" i="1"/>
  <c r="G73" i="1"/>
  <c r="K63" i="1"/>
  <c r="G54" i="1"/>
  <c r="I86" i="1"/>
  <c r="G46" i="1"/>
  <c r="K25" i="1"/>
  <c r="I62" i="1"/>
  <c r="I56" i="1"/>
  <c r="M91" i="1"/>
  <c r="M72" i="1"/>
  <c r="I91" i="1"/>
  <c r="G40" i="1"/>
  <c r="K76" i="1"/>
  <c r="M80" i="1"/>
  <c r="K24" i="1"/>
  <c r="G38" i="1"/>
  <c r="M47" i="1"/>
  <c r="I25" i="1"/>
  <c r="M41" i="1"/>
  <c r="I53" i="1"/>
  <c r="G61" i="1"/>
  <c r="M10" i="1"/>
  <c r="I52" i="1"/>
  <c r="I69" i="1"/>
  <c r="K91" i="1"/>
  <c r="M19" i="1"/>
  <c r="G85" i="1"/>
  <c r="M84" i="1"/>
  <c r="M29" i="1"/>
  <c r="M39" i="1"/>
  <c r="I67" i="1"/>
  <c r="M58" i="1"/>
  <c r="I22" i="1"/>
  <c r="G97" i="1"/>
  <c r="I34" i="1"/>
  <c r="K81" i="1"/>
  <c r="K93" i="1"/>
  <c r="I81" i="1"/>
  <c r="G27" i="1"/>
  <c r="I79" i="1"/>
  <c r="I55" i="1"/>
  <c r="M53" i="1"/>
  <c r="G10" i="1"/>
  <c r="I75" i="1"/>
  <c r="K60" i="1"/>
  <c r="I97" i="1"/>
  <c r="M96" i="1"/>
  <c r="I24" i="1"/>
  <c r="K35" i="1"/>
  <c r="G14" i="1"/>
  <c r="G52" i="1"/>
  <c r="M88" i="1"/>
  <c r="K68" i="1"/>
  <c r="I92" i="1"/>
  <c r="I61" i="1"/>
  <c r="K92" i="1"/>
  <c r="I23" i="1"/>
  <c r="G28" i="1"/>
  <c r="K61" i="1"/>
  <c r="G57" i="1"/>
  <c r="M20" i="1"/>
  <c r="G63" i="1"/>
  <c r="K84" i="1"/>
  <c r="G93" i="1"/>
  <c r="G17" i="1"/>
  <c r="M51" i="1"/>
  <c r="G72" i="1"/>
  <c r="G68" i="1"/>
  <c r="K97" i="1"/>
  <c r="G91" i="1"/>
  <c r="M56" i="1"/>
  <c r="K67" i="1"/>
  <c r="K89" i="1"/>
  <c r="G69" i="1"/>
  <c r="M87" i="1"/>
  <c r="I85" i="1"/>
  <c r="M48" i="1"/>
  <c r="G79" i="1"/>
  <c r="G47" i="1"/>
  <c r="K47" i="1"/>
  <c r="K70" i="1"/>
  <c r="K96" i="1"/>
  <c r="G42" i="1"/>
  <c r="I28" i="1"/>
  <c r="G80" i="1"/>
  <c r="I40" i="1"/>
  <c r="I63" i="1"/>
  <c r="G34" i="1"/>
  <c r="G88" i="1"/>
  <c r="K28" i="1"/>
  <c r="K34" i="1"/>
  <c r="M46" i="1"/>
  <c r="K23" i="1"/>
  <c r="M86" i="1"/>
  <c r="I66" i="1"/>
  <c r="K77" i="1"/>
  <c r="K82" i="1"/>
  <c r="K21" i="1"/>
  <c r="G81" i="1"/>
  <c r="K80" i="1"/>
  <c r="K78" i="1"/>
  <c r="M60" i="1"/>
  <c r="I17" i="1"/>
  <c r="I11" i="1"/>
  <c r="M75" i="1"/>
  <c r="M43" i="1"/>
  <c r="K58" i="1"/>
  <c r="I44" i="1"/>
  <c r="M83" i="1"/>
  <c r="M34" i="1"/>
  <c r="K39" i="1"/>
  <c r="K74" i="1"/>
  <c r="M42" i="1"/>
  <c r="K87" i="1"/>
  <c r="G64" i="1"/>
  <c r="M17" i="1"/>
  <c r="M67" i="1"/>
  <c r="G9" i="1"/>
  <c r="I47" i="1"/>
  <c r="I26" i="1"/>
  <c r="I50" i="1"/>
  <c r="K71" i="1"/>
  <c r="M22" i="1"/>
  <c r="I41" i="1"/>
  <c r="M93" i="1"/>
  <c r="I43" i="1"/>
  <c r="K50" i="1"/>
  <c r="G49" i="1"/>
  <c r="G56" i="1"/>
  <c r="K19" i="1"/>
  <c r="M24" i="1"/>
  <c r="G12" i="1"/>
  <c r="M92" i="1"/>
  <c r="K64" i="1"/>
  <c r="G75" i="1"/>
  <c r="G92" i="1"/>
  <c r="G39" i="1"/>
  <c r="I27" i="1"/>
  <c r="K15" i="1"/>
  <c r="K51" i="1"/>
  <c r="K38" i="1"/>
  <c r="M57" i="1"/>
  <c r="G31" i="1"/>
  <c r="M36" i="1"/>
  <c r="I45" i="1"/>
  <c r="I96" i="1"/>
  <c r="K29" i="1"/>
  <c r="K85" i="1"/>
  <c r="G22" i="1"/>
  <c r="G58" i="1"/>
  <c r="K9" i="1"/>
  <c r="G76" i="1"/>
  <c r="M11" i="1"/>
  <c r="I20" i="1"/>
  <c r="I39" i="1"/>
  <c r="I87" i="1"/>
  <c r="G83" i="1"/>
  <c r="G37" i="1"/>
  <c r="G20" i="1"/>
  <c r="M78" i="1"/>
  <c r="I38" i="1"/>
  <c r="M55" i="1"/>
  <c r="M32" i="1"/>
  <c r="K41" i="1"/>
  <c r="K30" i="1"/>
  <c r="M21" i="1"/>
  <c r="I18" i="1"/>
  <c r="I82" i="1"/>
  <c r="I58" i="1"/>
  <c r="K42" i="1"/>
  <c r="I73" i="1"/>
  <c r="I95" i="1"/>
</calcChain>
</file>

<file path=xl/sharedStrings.xml><?xml version="1.0" encoding="utf-8"?>
<sst xmlns="http://schemas.openxmlformats.org/spreadsheetml/2006/main" count="47" uniqueCount="46">
  <si>
    <t>صحیح</t>
  </si>
  <si>
    <t>غلط</t>
  </si>
  <si>
    <t>تعداد سوال</t>
  </si>
  <si>
    <t>میانگین
نرم افزار</t>
  </si>
  <si>
    <t>میانگین
معماری</t>
  </si>
  <si>
    <t>میانگین
هوش</t>
  </si>
  <si>
    <t>معدل</t>
  </si>
  <si>
    <t>موثر</t>
  </si>
  <si>
    <t>میانگین
شبکه امنیت</t>
  </si>
  <si>
    <t>رتبه  1
شبکه امنیت</t>
  </si>
  <si>
    <t>رتبه 2
هوش</t>
  </si>
  <si>
    <t>رتبه  3
معماری</t>
  </si>
  <si>
    <t>رتبه 4
نرم افزار</t>
  </si>
  <si>
    <t>-</t>
  </si>
  <si>
    <t>زبان
30</t>
  </si>
  <si>
    <t>ریاضی
20</t>
  </si>
  <si>
    <r>
      <t xml:space="preserve">تخصصی 4
</t>
    </r>
    <r>
      <rPr>
        <sz val="9"/>
        <color theme="1"/>
        <rFont val="B Titr"/>
        <charset val="178"/>
      </rPr>
      <t xml:space="preserve">(سیستم-پایگاه-شبکه)
</t>
    </r>
    <r>
      <rPr>
        <sz val="12"/>
        <color theme="1"/>
        <rFont val="B Titr"/>
        <charset val="178"/>
      </rPr>
      <t>20</t>
    </r>
  </si>
  <si>
    <r>
      <t xml:space="preserve">تخصصی 3
</t>
    </r>
    <r>
      <rPr>
        <sz val="10"/>
        <color theme="1"/>
        <rFont val="B Titr"/>
        <charset val="178"/>
      </rPr>
      <t xml:space="preserve">(منطقی-معماری)
</t>
    </r>
    <r>
      <rPr>
        <sz val="12"/>
        <color theme="1"/>
        <rFont val="B Titr"/>
        <charset val="178"/>
      </rPr>
      <t>20</t>
    </r>
  </si>
  <si>
    <r>
      <t xml:space="preserve">تخصصی 2
</t>
    </r>
    <r>
      <rPr>
        <sz val="10"/>
        <color theme="1"/>
        <rFont val="B Titr"/>
        <charset val="178"/>
      </rPr>
      <t xml:space="preserve">(داده الگو-هوش)
</t>
    </r>
    <r>
      <rPr>
        <sz val="12"/>
        <color theme="1"/>
        <rFont val="B Titr"/>
        <charset val="178"/>
      </rPr>
      <t>20</t>
    </r>
  </si>
  <si>
    <r>
      <t xml:space="preserve">تخصصی 1
</t>
    </r>
    <r>
      <rPr>
        <sz val="10"/>
        <color theme="1"/>
        <rFont val="B Titr"/>
        <charset val="178"/>
      </rPr>
      <t xml:space="preserve">(نظریه-سیگنال)
</t>
    </r>
    <r>
      <rPr>
        <sz val="12"/>
        <color theme="1"/>
        <rFont val="B Titr"/>
        <charset val="178"/>
      </rPr>
      <t>10</t>
    </r>
  </si>
  <si>
    <t>درصد مجموعه</t>
  </si>
  <si>
    <t>@Konkur_Answer</t>
  </si>
  <si>
    <t>آخرین نسخه در کانال :</t>
  </si>
  <si>
    <t>رتبه سهمیه</t>
  </si>
  <si>
    <t>رتبه + میانگین درصد</t>
  </si>
  <si>
    <t>درصد هر مجموعه درس</t>
  </si>
  <si>
    <t>نوع قبولی</t>
  </si>
  <si>
    <t>رشته</t>
  </si>
  <si>
    <t>دانشگاه</t>
  </si>
  <si>
    <t>پذیرش</t>
  </si>
  <si>
    <t>محاسبه درصد هر مجموعه درس</t>
  </si>
  <si>
    <t>19</t>
  </si>
  <si>
    <r>
      <rPr>
        <b/>
        <sz val="24"/>
        <color rgb="FFC00000"/>
        <rFont val="B Traffic"/>
        <charset val="178"/>
      </rPr>
      <t>توجه</t>
    </r>
    <r>
      <rPr>
        <sz val="14"/>
        <color theme="1"/>
        <rFont val="B Traffic"/>
        <charset val="178"/>
      </rPr>
      <t xml:space="preserve"> :</t>
    </r>
    <r>
      <rPr>
        <sz val="16"/>
        <color theme="1"/>
        <rFont val="B Traffic"/>
        <charset val="178"/>
      </rPr>
      <t xml:space="preserve"> </t>
    </r>
    <r>
      <rPr>
        <b/>
        <i/>
        <sz val="14"/>
        <color theme="1"/>
        <rFont val="B Traffic"/>
        <charset val="178"/>
      </rPr>
      <t>هر گونه استفاده غیر رایگان (به هر شیوه ای) ممنوع و شرعا حرام است. اگر کارنامه ای داشتید، در راستای کمک به دوستانتان برای ادمین کانال بفرستید تا به فایل اضافه شود</t>
    </r>
  </si>
  <si>
    <t>7-12-6-7</t>
  </si>
  <si>
    <t>10-6-11-10</t>
  </si>
  <si>
    <t>14-11-14-11</t>
  </si>
  <si>
    <t>38-33-43-37</t>
  </si>
  <si>
    <t>11-10-8-13</t>
  </si>
  <si>
    <t>69-76-71-86</t>
  </si>
  <si>
    <t>110-92-128-100</t>
  </si>
  <si>
    <t>1.0.6</t>
  </si>
  <si>
    <t>کارنامه های کنکور کارشناسی ارشد (فقط) مهندسی کامپیوتر 1401</t>
  </si>
  <si>
    <t>1-1-1-1</t>
  </si>
  <si>
    <t>4-4-4-4</t>
  </si>
  <si>
    <t>9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</si>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</sst>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Arial"/>
      <family val="2"/>
      <scheme val="minor"/>
    </font>
    <font>
      <b/>
      <sz val="14"/>
      <color theme="1"/>
      <name val="B Traffic"/>
      <charset val="178"/>
    </font>
    <font>
      <b/>
      <sz val="14"/>
      <color rgb="FFFF0000"/>
      <name val="B Traffic"/>
      <charset val="178"/>
    </font>
    <font>
      <sz val="11"/>
      <color theme="1"/>
      <name val="B Titr"/>
      <charset val="178"/>
    </font>
    <font>
      <sz val="12"/>
      <color theme="1"/>
      <name val="B Titr"/>
      <charset val="178"/>
    </font>
    <font>
      <sz val="10"/>
      <color theme="1"/>
      <name val="B Titr"/>
      <charset val="178"/>
    </font>
    <font>
      <b/>
      <sz val="14"/>
      <color rgb="FF381850"/>
      <name val="B Traffic"/>
      <charset val="178"/>
    </font>
    <font>
      <sz val="9"/>
      <color theme="1"/>
      <name val="B Titr"/>
      <charset val="178"/>
    </font>
    <font>
      <b/>
      <sz val="12"/>
      <color theme="1"/>
      <name val="B Titr"/>
      <charset val="178"/>
    </font>
    <font>
      <b/>
      <sz val="20"/>
      <color theme="1"/>
      <name val="Arial"/>
      <family val="2"/>
      <scheme val="minor"/>
    </font>
    <font>
      <b/>
      <sz val="20"/>
      <color theme="1"/>
      <name val="B Traffic"/>
      <charset val="178"/>
    </font>
    <font>
      <b/>
      <sz val="14"/>
      <color theme="1"/>
      <name val="B Titr"/>
      <charset val="178"/>
    </font>
    <font>
      <b/>
      <sz val="14"/>
      <color theme="1"/>
      <name val="Arial"/>
      <family val="2"/>
      <scheme val="minor"/>
    </font>
    <font>
      <sz val="18"/>
      <color rgb="FF532476"/>
      <name val="B Titr"/>
      <charset val="178"/>
    </font>
    <font>
      <sz val="18"/>
      <color theme="1"/>
      <name val="B Titr"/>
      <charset val="178"/>
    </font>
    <font>
      <b/>
      <sz val="18"/>
      <color theme="1"/>
      <name val="B Titr"/>
      <charset val="178"/>
    </font>
    <font>
      <sz val="11"/>
      <color rgb="FFC00000"/>
      <name val="B Titr"/>
      <charset val="178"/>
    </font>
    <font>
      <b/>
      <sz val="14"/>
      <color rgb="FFC00000"/>
      <name val="B Traffic"/>
      <charset val="178"/>
    </font>
    <font>
      <sz val="11"/>
      <color rgb="FFC00000"/>
      <name val="Arial"/>
      <family val="2"/>
      <scheme val="minor"/>
    </font>
    <font>
      <b/>
      <sz val="18"/>
      <color rgb="FFC00000"/>
      <name val="B Titr"/>
      <charset val="178"/>
    </font>
    <font>
      <b/>
      <sz val="15"/>
      <color rgb="FFC00000"/>
      <name val="B Titr"/>
      <charset val="178"/>
    </font>
    <font>
      <sz val="20"/>
      <color rgb="FF532476"/>
      <name val="B Titr"/>
      <charset val="178"/>
    </font>
    <font>
      <b/>
      <sz val="12"/>
      <color rgb="FFC00000"/>
      <name val="B Titr"/>
      <charset val="178"/>
    </font>
    <font>
      <b/>
      <sz val="1"/>
      <color theme="0"/>
      <name val="B Traffic"/>
      <charset val="178"/>
    </font>
    <font>
      <sz val="14"/>
      <color theme="1"/>
      <name val="B Traffic"/>
      <charset val="178"/>
    </font>
    <font>
      <b/>
      <sz val="24"/>
      <color rgb="FFC00000"/>
      <name val="B Traffic"/>
      <charset val="178"/>
    </font>
    <font>
      <sz val="16"/>
      <color theme="1"/>
      <name val="B Traffic"/>
      <charset val="178"/>
    </font>
    <font>
      <b/>
      <sz val="20"/>
      <color theme="1"/>
      <name val="B Titr"/>
      <charset val="178"/>
    </font>
    <font>
      <b/>
      <i/>
      <sz val="14"/>
      <color theme="1"/>
      <name val="B Traffic"/>
      <charset val="178"/>
    </font>
  </fonts>
  <fills count="8">
    <fill>
      <patternFill patternType="none"/>
    </fill>
    <fill>
      <patternFill patternType="gray125"/>
    </fill>
    <fill>
      <patternFill patternType="solid">
        <fgColor rgb="FFE2EFD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ABE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8D08D"/>
        <bgColor indexed="64"/>
      </patternFill>
    </fill>
    <fill>
      <patternFill patternType="solid">
        <fgColor theme="7" tint="0.59999389629810485"/>
        <bgColor indexed="64"/>
      </patternFill>
    </fill>
  </fills>
  <borders count="52">
    <border>
      <left/>
      <right/>
      <top/>
      <bottom/>
      <diagonal/>
    </border>
    <border>
      <left style="thick">
        <color rgb="FF61943E"/>
      </left>
      <right style="thick">
        <color rgb="FF61943E"/>
      </right>
      <top style="thick">
        <color rgb="FF61943E"/>
      </top>
      <bottom style="thick">
        <color rgb="FF61943E"/>
      </bottom>
      <diagonal/>
    </border>
    <border>
      <left style="thick">
        <color rgb="FF61943E"/>
      </left>
      <right style="thick">
        <color rgb="FF61943E"/>
      </right>
      <top style="thick">
        <color rgb="FF61943E"/>
      </top>
      <bottom/>
      <diagonal/>
    </border>
    <border>
      <left style="thick">
        <color rgb="FF61943E"/>
      </left>
      <right/>
      <top style="thick">
        <color rgb="FF61943E"/>
      </top>
      <bottom/>
      <diagonal/>
    </border>
    <border>
      <left style="thick">
        <color theme="6" tint="-0.249977111117893"/>
      </left>
      <right style="thick">
        <color theme="6" tint="-0.249977111117893"/>
      </right>
      <top style="thick">
        <color rgb="FFA8D08E"/>
      </top>
      <bottom style="thick">
        <color rgb="FFA8D08E"/>
      </bottom>
      <diagonal/>
    </border>
    <border>
      <left style="thick">
        <color theme="6" tint="-0.249977111117893"/>
      </left>
      <right style="thick">
        <color theme="6" tint="-0.249977111117893"/>
      </right>
      <top style="thick">
        <color rgb="FFA8D08E"/>
      </top>
      <bottom style="thick">
        <color rgb="FF61943E"/>
      </bottom>
      <diagonal/>
    </border>
    <border>
      <left style="thick">
        <color theme="6" tint="-0.249977111117893"/>
      </left>
      <right style="thick">
        <color theme="6" tint="-0.249977111117893"/>
      </right>
      <top style="thick">
        <color theme="6" tint="-0.249977111117893"/>
      </top>
      <bottom style="thick">
        <color theme="6" tint="-0.249977111117893"/>
      </bottom>
      <diagonal/>
    </border>
    <border>
      <left/>
      <right style="thick">
        <color theme="6" tint="-0.249977111117893"/>
      </right>
      <top style="thick">
        <color theme="6" tint="-0.249977111117893"/>
      </top>
      <bottom style="thick">
        <color theme="6" tint="-0.249977111117893"/>
      </bottom>
      <diagonal/>
    </border>
    <border>
      <left style="thick">
        <color theme="6" tint="-0.249977111117893"/>
      </left>
      <right style="thick">
        <color theme="6" tint="-0.249977111117893"/>
      </right>
      <top/>
      <bottom style="thick">
        <color theme="6" tint="-0.249977111117893"/>
      </bottom>
      <diagonal/>
    </border>
    <border>
      <left style="thick">
        <color rgb="FFA8D08D"/>
      </left>
      <right style="thick">
        <color theme="6" tint="-0.249977111117893"/>
      </right>
      <top style="thick">
        <color rgb="FFA8D08D"/>
      </top>
      <bottom style="thick">
        <color rgb="FFA8D08D"/>
      </bottom>
      <diagonal/>
    </border>
    <border>
      <left style="thick">
        <color theme="6" tint="-0.249977111117893"/>
      </left>
      <right style="thick">
        <color theme="6" tint="-0.249977111117893"/>
      </right>
      <top style="thick">
        <color rgb="FFA8D08D"/>
      </top>
      <bottom style="thick">
        <color rgb="FFA8D08D"/>
      </bottom>
      <diagonal/>
    </border>
    <border>
      <left style="thick">
        <color theme="6" tint="-0.249977111117893"/>
      </left>
      <right style="thick">
        <color rgb="FFA8D08D"/>
      </right>
      <top style="thick">
        <color rgb="FFA8D08D"/>
      </top>
      <bottom style="thick">
        <color rgb="FFA8D08D"/>
      </bottom>
      <diagonal/>
    </border>
    <border>
      <left style="thick">
        <color theme="6" tint="-0.249977111117893"/>
      </left>
      <right style="thick">
        <color theme="6" tint="-0.249977111117893"/>
      </right>
      <top style="thick">
        <color rgb="FFA8D08E"/>
      </top>
      <bottom/>
      <diagonal/>
    </border>
    <border>
      <left/>
      <right style="thick">
        <color theme="6" tint="-0.249977111117893"/>
      </right>
      <top style="thick">
        <color rgb="FFA8D08D"/>
      </top>
      <bottom style="thick">
        <color rgb="FFA8D08D"/>
      </bottom>
      <diagonal/>
    </border>
    <border>
      <left style="thick">
        <color rgb="FFA8D08D"/>
      </left>
      <right/>
      <top style="thick">
        <color rgb="FFA8D08D"/>
      </top>
      <bottom style="thick">
        <color rgb="FFA8D08D"/>
      </bottom>
      <diagonal/>
    </border>
    <border>
      <left/>
      <right style="thick">
        <color theme="6" tint="-0.249977111117893"/>
      </right>
      <top/>
      <bottom style="thick">
        <color theme="6" tint="-0.249977111117893"/>
      </bottom>
      <diagonal/>
    </border>
    <border>
      <left style="thick">
        <color theme="6" tint="-0.249977111117893"/>
      </left>
      <right/>
      <top/>
      <bottom style="thick">
        <color theme="6" tint="-0.249977111117893"/>
      </bottom>
      <diagonal/>
    </border>
    <border>
      <left style="thick">
        <color theme="6" tint="-0.249977111117893"/>
      </left>
      <right style="thick">
        <color rgb="FFA8D08D"/>
      </right>
      <top style="thick">
        <color rgb="FFA8D08D"/>
      </top>
      <bottom/>
      <diagonal/>
    </border>
    <border>
      <left style="thick">
        <color theme="6" tint="-0.249977111117893"/>
      </left>
      <right/>
      <top style="thick">
        <color rgb="FF61943E"/>
      </top>
      <bottom style="thick">
        <color theme="6" tint="-0.249977111117893"/>
      </bottom>
      <diagonal/>
    </border>
    <border>
      <left style="thick">
        <color theme="6" tint="-0.249977111117893"/>
      </left>
      <right style="thick">
        <color theme="6" tint="-0.249977111117893"/>
      </right>
      <top style="thick">
        <color theme="6" tint="-0.249977111117893"/>
      </top>
      <bottom/>
      <diagonal/>
    </border>
    <border>
      <left style="thick">
        <color theme="6" tint="-0.249977111117893"/>
      </left>
      <right style="thick">
        <color rgb="FFA8D08D"/>
      </right>
      <top/>
      <bottom style="thick">
        <color rgb="FFA8D08D"/>
      </bottom>
      <diagonal/>
    </border>
    <border>
      <left/>
      <right style="thick">
        <color theme="6" tint="-0.249977111117893"/>
      </right>
      <top/>
      <bottom style="thick">
        <color rgb="FFA8D08D"/>
      </bottom>
      <diagonal/>
    </border>
    <border>
      <left style="thick">
        <color theme="6" tint="-0.249977111117893"/>
      </left>
      <right style="thick">
        <color theme="6" tint="-0.249977111117893"/>
      </right>
      <top/>
      <bottom style="thick">
        <color rgb="FFA8D08D"/>
      </bottom>
      <diagonal/>
    </border>
    <border>
      <left style="thick">
        <color theme="6" tint="-0.249977111117893"/>
      </left>
      <right/>
      <top style="thick">
        <color theme="6" tint="-0.249977111117893"/>
      </top>
      <bottom style="thick">
        <color theme="6" tint="-0.249977111117893"/>
      </bottom>
      <diagonal/>
    </border>
    <border>
      <left/>
      <right/>
      <top style="thick">
        <color theme="6" tint="-0.249977111117893"/>
      </top>
      <bottom style="thick">
        <color theme="6" tint="-0.249977111117893"/>
      </bottom>
      <diagonal/>
    </border>
    <border>
      <left style="thick">
        <color theme="6" tint="-0.249977111117893"/>
      </left>
      <right style="thick">
        <color rgb="FF61943E"/>
      </right>
      <top style="thick">
        <color theme="6" tint="-0.249977111117893"/>
      </top>
      <bottom style="thick">
        <color theme="6" tint="-0.249977111117893"/>
      </bottom>
      <diagonal/>
    </border>
    <border>
      <left style="thick">
        <color rgb="FF61943E"/>
      </left>
      <right style="thick">
        <color rgb="FF61943E"/>
      </right>
      <top style="thick">
        <color theme="6" tint="-0.249977111117893"/>
      </top>
      <bottom style="thick">
        <color theme="6" tint="-0.249977111117893"/>
      </bottom>
      <diagonal/>
    </border>
    <border>
      <left style="thick">
        <color rgb="FF61943E"/>
      </left>
      <right style="thick">
        <color theme="6" tint="-0.249977111117893"/>
      </right>
      <top style="thick">
        <color theme="6" tint="-0.249977111117893"/>
      </top>
      <bottom style="thick">
        <color theme="6" tint="-0.249977111117893"/>
      </bottom>
      <diagonal/>
    </border>
    <border>
      <left style="thick">
        <color rgb="FFA8D08D"/>
      </left>
      <right style="thick">
        <color theme="6" tint="-0.249977111117893"/>
      </right>
      <top style="thick">
        <color rgb="FFA8D08D"/>
      </top>
      <bottom style="thick">
        <color theme="6" tint="-0.249977111117893"/>
      </bottom>
      <diagonal/>
    </border>
    <border>
      <left style="thick">
        <color theme="6" tint="-0.249977111117893"/>
      </left>
      <right style="thick">
        <color theme="6" tint="-0.249977111117893"/>
      </right>
      <top/>
      <bottom style="thick">
        <color rgb="FFA8D08E"/>
      </bottom>
      <diagonal/>
    </border>
    <border>
      <left/>
      <right/>
      <top/>
      <bottom style="thick">
        <color theme="6" tint="-0.249977111117893"/>
      </bottom>
      <diagonal/>
    </border>
    <border>
      <left/>
      <right/>
      <top style="thick">
        <color rgb="FF61943E"/>
      </top>
      <bottom style="thick">
        <color theme="6" tint="-0.249977111117893"/>
      </bottom>
      <diagonal/>
    </border>
    <border>
      <left/>
      <right style="thick">
        <color theme="6" tint="-0.249977111117893"/>
      </right>
      <top style="thick">
        <color rgb="FF61943E"/>
      </top>
      <bottom style="thick">
        <color theme="6" tint="-0.249977111117893"/>
      </bottom>
      <diagonal/>
    </border>
    <border>
      <left/>
      <right style="thick">
        <color theme="6" tint="-0.249977111117893"/>
      </right>
      <top/>
      <bottom/>
      <diagonal/>
    </border>
    <border>
      <left style="thick">
        <color theme="6" tint="-0.249977111117893"/>
      </left>
      <right/>
      <top style="thick">
        <color theme="6" tint="-0.249977111117893"/>
      </top>
      <bottom/>
      <diagonal/>
    </border>
    <border>
      <left/>
      <right/>
      <top style="thick">
        <color theme="6" tint="-0.249977111117893"/>
      </top>
      <bottom/>
      <diagonal/>
    </border>
    <border>
      <left style="thick">
        <color theme="6" tint="-0.249977111117893"/>
      </left>
      <right style="thick">
        <color theme="6" tint="-0.249977111117893"/>
      </right>
      <top style="thick">
        <color theme="6" tint="-0.249977111117893"/>
      </top>
      <bottom style="thick">
        <color rgb="FF61943E"/>
      </bottom>
      <diagonal/>
    </border>
    <border>
      <left/>
      <right/>
      <top/>
      <bottom style="thick">
        <color rgb="FF61943E"/>
      </bottom>
      <diagonal/>
    </border>
    <border>
      <left style="thick">
        <color theme="6" tint="-0.249977111117893"/>
      </left>
      <right style="thick">
        <color rgb="FFA8D08E"/>
      </right>
      <top style="thick">
        <color theme="6" tint="-0.249977111117893"/>
      </top>
      <bottom style="thick">
        <color theme="6" tint="-0.249977111117893"/>
      </bottom>
      <diagonal/>
    </border>
    <border>
      <left style="thick">
        <color rgb="FF61943E"/>
      </left>
      <right style="thick">
        <color rgb="FFA8D08E"/>
      </right>
      <top style="thick">
        <color theme="6" tint="-0.249977111117893"/>
      </top>
      <bottom style="thick">
        <color theme="6" tint="-0.249977111117893"/>
      </bottom>
      <diagonal/>
    </border>
    <border>
      <left style="thick">
        <color rgb="FF61943E"/>
      </left>
      <right style="thick">
        <color theme="6" tint="-0.249977111117893"/>
      </right>
      <top/>
      <bottom style="thick">
        <color rgb="FFA8D08E"/>
      </bottom>
      <diagonal/>
    </border>
    <border>
      <left/>
      <right style="thick">
        <color theme="6" tint="-0.249977111117893"/>
      </right>
      <top/>
      <bottom style="thick">
        <color rgb="FFA8D08E"/>
      </bottom>
      <diagonal/>
    </border>
    <border>
      <left style="thick">
        <color rgb="FF61943E"/>
      </left>
      <right style="thick">
        <color theme="6" tint="-0.249977111117893"/>
      </right>
      <top style="thick">
        <color rgb="FFA8D08E"/>
      </top>
      <bottom style="thick">
        <color rgb="FFA8D08E"/>
      </bottom>
      <diagonal/>
    </border>
    <border>
      <left/>
      <right style="thick">
        <color theme="6" tint="-0.249977111117893"/>
      </right>
      <top style="thick">
        <color rgb="FFA8D08E"/>
      </top>
      <bottom style="thick">
        <color rgb="FFA8D08E"/>
      </bottom>
      <diagonal/>
    </border>
    <border>
      <left/>
      <right style="thick">
        <color theme="6" tint="-0.249977111117893"/>
      </right>
      <top style="thick">
        <color rgb="FFA8D08E"/>
      </top>
      <bottom/>
      <diagonal/>
    </border>
    <border>
      <left style="thick">
        <color theme="6" tint="-0.249977111117893"/>
      </left>
      <right style="thick">
        <color theme="6" tint="-0.249977111117893"/>
      </right>
      <top/>
      <bottom/>
      <diagonal/>
    </border>
    <border>
      <left style="thick">
        <color rgb="FF61943E"/>
      </left>
      <right style="thick">
        <color rgb="FF61943E"/>
      </right>
      <top style="thick">
        <color theme="6" tint="-0.249977111117893"/>
      </top>
      <bottom style="thick">
        <color rgb="FF61943E"/>
      </bottom>
      <diagonal/>
    </border>
    <border>
      <left/>
      <right style="thick">
        <color theme="6" tint="-0.249977111117893"/>
      </right>
      <top style="thick">
        <color theme="6" tint="-0.249977111117893"/>
      </top>
      <bottom/>
      <diagonal/>
    </border>
    <border>
      <left style="thick">
        <color theme="6" tint="-0.249977111117893"/>
      </left>
      <right style="thick">
        <color theme="6" tint="-0.249977111117893"/>
      </right>
      <top style="thick">
        <color rgb="FFA8D08E"/>
      </top>
      <bottom style="thick">
        <color theme="6" tint="-0.249977111117893"/>
      </bottom>
      <diagonal/>
    </border>
    <border>
      <left/>
      <right style="thick">
        <color theme="6" tint="-0.249977111117893"/>
      </right>
      <top style="thick">
        <color rgb="FFA8D08E"/>
      </top>
      <bottom style="thick">
        <color theme="6" tint="-0.249977111117893"/>
      </bottom>
      <diagonal/>
    </border>
    <border>
      <left style="thick">
        <color rgb="FF61943E"/>
      </left>
      <right style="thick">
        <color theme="6" tint="-0.249977111117893"/>
      </right>
      <top/>
      <bottom style="thick">
        <color theme="6" tint="-0.249977111117893"/>
      </bottom>
      <diagonal/>
    </border>
    <border>
      <left style="thick">
        <color rgb="FFA8D08D"/>
      </left>
      <right style="thick">
        <color theme="6" tint="-0.249977111117893"/>
      </right>
      <top style="thick">
        <color rgb="FFA8D08D"/>
      </top>
      <bottom/>
      <diagonal/>
    </border>
  </borders>
  <cellStyleXfs count="1">
    <xf numFmtId="0" fontId="0" fillId="0" borderId="0"/>
  </cellStyleXfs>
  <cellXfs count="108">
    <xf numFmtId="0" fontId="0" fillId="0" borderId="0" xfId="0"/>
    <xf numFmtId="0" fontId="0" fillId="0" borderId="0" xfId="0" applyAlignment="1">
      <alignment horizontal="center" vertical="center"/>
    </xf>
    <xf numFmtId="49" fontId="2" fillId="0" borderId="0" xfId="0" applyNumberFormat="1" applyFont="1" applyBorder="1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0" fillId="0" borderId="0" xfId="0" applyFill="1"/>
    <xf numFmtId="0" fontId="0" fillId="0" borderId="0" xfId="0" applyFont="1"/>
    <xf numFmtId="0" fontId="0" fillId="0" borderId="0" xfId="0" applyBorder="1"/>
    <xf numFmtId="0" fontId="1" fillId="2" borderId="5" xfId="0" applyNumberFormat="1" applyFont="1" applyFill="1" applyBorder="1" applyAlignment="1">
      <alignment horizontal="center" vertical="center"/>
    </xf>
    <xf numFmtId="0" fontId="1" fillId="3" borderId="6" xfId="0" applyNumberFormat="1" applyFont="1" applyFill="1" applyBorder="1" applyAlignment="1">
      <alignment horizontal="center" vertical="center"/>
    </xf>
    <xf numFmtId="0" fontId="6" fillId="2" borderId="8" xfId="0" applyNumberFormat="1" applyFont="1" applyFill="1" applyBorder="1" applyAlignment="1">
      <alignment horizontal="center" vertical="center"/>
    </xf>
    <xf numFmtId="0" fontId="1" fillId="2" borderId="9" xfId="0" applyNumberFormat="1" applyFont="1" applyFill="1" applyBorder="1" applyAlignment="1">
      <alignment horizontal="center" vertical="center"/>
    </xf>
    <xf numFmtId="0" fontId="1" fillId="4" borderId="9" xfId="0" applyNumberFormat="1" applyFont="1" applyFill="1" applyBorder="1" applyAlignment="1">
      <alignment horizontal="center" vertical="center"/>
    </xf>
    <xf numFmtId="0" fontId="1" fillId="2" borderId="14" xfId="0" applyNumberFormat="1" applyFont="1" applyFill="1" applyBorder="1" applyAlignment="1">
      <alignment horizontal="center" vertical="center"/>
    </xf>
    <xf numFmtId="0" fontId="1" fillId="4" borderId="14" xfId="0" applyNumberFormat="1" applyFont="1" applyFill="1" applyBorder="1" applyAlignment="1">
      <alignment horizontal="center" vertical="center"/>
    </xf>
    <xf numFmtId="0" fontId="6" fillId="2" borderId="15" xfId="0" applyNumberFormat="1" applyFont="1" applyFill="1" applyBorder="1" applyAlignment="1">
      <alignment horizontal="center" vertical="center"/>
    </xf>
    <xf numFmtId="0" fontId="1" fillId="2" borderId="28" xfId="0" applyNumberFormat="1" applyFont="1" applyFill="1" applyBorder="1" applyAlignment="1">
      <alignment horizontal="center" vertical="center"/>
    </xf>
    <xf numFmtId="0" fontId="4" fillId="3" borderId="26" xfId="0" applyNumberFormat="1" applyFont="1" applyFill="1" applyBorder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/>
    <xf numFmtId="49" fontId="1" fillId="0" borderId="0" xfId="0" applyNumberFormat="1" applyFont="1" applyBorder="1" applyAlignment="1">
      <alignment vertical="center"/>
    </xf>
    <xf numFmtId="0" fontId="4" fillId="0" borderId="30" xfId="0" applyNumberFormat="1" applyFont="1" applyFill="1" applyBorder="1" applyAlignment="1">
      <alignment horizontal="center" vertical="center"/>
    </xf>
    <xf numFmtId="0" fontId="0" fillId="0" borderId="0" xfId="0" applyFill="1" applyBorder="1"/>
    <xf numFmtId="0" fontId="3" fillId="0" borderId="30" xfId="0" applyNumberFormat="1" applyFont="1" applyFill="1" applyBorder="1" applyAlignment="1">
      <alignment horizontal="center" vertical="center" wrapText="1"/>
    </xf>
    <xf numFmtId="0" fontId="8" fillId="0" borderId="30" xfId="0" applyNumberFormat="1" applyFont="1" applyFill="1" applyBorder="1" applyAlignment="1">
      <alignment horizontal="center" vertical="center" wrapText="1"/>
    </xf>
    <xf numFmtId="0" fontId="4" fillId="0" borderId="30" xfId="0" applyNumberFormat="1" applyFont="1" applyFill="1" applyBorder="1" applyAlignment="1">
      <alignment horizontal="center" vertical="center" wrapText="1"/>
    </xf>
    <xf numFmtId="0" fontId="9" fillId="0" borderId="2" xfId="0" applyFont="1" applyBorder="1"/>
    <xf numFmtId="49" fontId="10" fillId="0" borderId="1" xfId="0" applyNumberFormat="1" applyFont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 wrapText="1"/>
    </xf>
    <xf numFmtId="0" fontId="11" fillId="3" borderId="3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0" fillId="0" borderId="33" xfId="0" applyBorder="1"/>
    <xf numFmtId="49" fontId="17" fillId="0" borderId="0" xfId="0" applyNumberFormat="1" applyFont="1" applyBorder="1" applyAlignment="1">
      <alignment horizontal="center" vertical="center"/>
    </xf>
    <xf numFmtId="0" fontId="16" fillId="0" borderId="30" xfId="0" applyNumberFormat="1" applyFont="1" applyFill="1" applyBorder="1" applyAlignment="1">
      <alignment horizontal="center" vertical="center" wrapText="1"/>
    </xf>
    <xf numFmtId="0" fontId="17" fillId="2" borderId="16" xfId="0" applyNumberFormat="1" applyFont="1" applyFill="1" applyBorder="1" applyAlignment="1">
      <alignment horizontal="center" vertical="center"/>
    </xf>
    <xf numFmtId="0" fontId="18" fillId="0" borderId="0" xfId="0" applyNumberFormat="1" applyFont="1"/>
    <xf numFmtId="0" fontId="18" fillId="0" borderId="0" xfId="0" applyFont="1"/>
    <xf numFmtId="0" fontId="19" fillId="5" borderId="36" xfId="0" applyFont="1" applyFill="1" applyBorder="1" applyAlignment="1">
      <alignment horizontal="center" vertical="center"/>
    </xf>
    <xf numFmtId="0" fontId="20" fillId="5" borderId="19" xfId="0" applyFont="1" applyFill="1" applyBorder="1" applyAlignment="1">
      <alignment horizontal="center" vertical="center" wrapText="1"/>
    </xf>
    <xf numFmtId="0" fontId="4" fillId="6" borderId="26" xfId="0" applyNumberFormat="1" applyFont="1" applyFill="1" applyBorder="1" applyAlignment="1">
      <alignment horizontal="center" vertical="center" wrapText="1"/>
    </xf>
    <xf numFmtId="0" fontId="4" fillId="6" borderId="27" xfId="0" applyNumberFormat="1" applyFont="1" applyFill="1" applyBorder="1" applyAlignment="1">
      <alignment horizontal="center" vertical="center" wrapText="1"/>
    </xf>
    <xf numFmtId="0" fontId="16" fillId="6" borderId="23" xfId="0" applyNumberFormat="1" applyFont="1" applyFill="1" applyBorder="1" applyAlignment="1">
      <alignment horizontal="center" vertical="center" wrapText="1"/>
    </xf>
    <xf numFmtId="0" fontId="3" fillId="6" borderId="6" xfId="0" applyNumberFormat="1" applyFont="1" applyFill="1" applyBorder="1" applyAlignment="1">
      <alignment horizontal="center" vertical="center" wrapText="1"/>
    </xf>
    <xf numFmtId="0" fontId="16" fillId="6" borderId="6" xfId="0" applyNumberFormat="1" applyFont="1" applyFill="1" applyBorder="1" applyAlignment="1">
      <alignment horizontal="center" vertical="center" wrapText="1"/>
    </xf>
    <xf numFmtId="0" fontId="3" fillId="6" borderId="7" xfId="0" applyNumberFormat="1" applyFont="1" applyFill="1" applyBorder="1" applyAlignment="1">
      <alignment horizontal="center" vertical="center" wrapText="1"/>
    </xf>
    <xf numFmtId="0" fontId="16" fillId="6" borderId="24" xfId="0" applyNumberFormat="1" applyFont="1" applyFill="1" applyBorder="1" applyAlignment="1">
      <alignment horizontal="center" vertical="center" wrapText="1"/>
    </xf>
    <xf numFmtId="0" fontId="3" fillId="6" borderId="25" xfId="0" applyNumberFormat="1" applyFont="1" applyFill="1" applyBorder="1" applyAlignment="1">
      <alignment horizontal="center" vertical="center" wrapText="1"/>
    </xf>
    <xf numFmtId="0" fontId="15" fillId="3" borderId="19" xfId="0" applyNumberFormat="1" applyFont="1" applyFill="1" applyBorder="1" applyAlignment="1">
      <alignment horizontal="center" vertical="center"/>
    </xf>
    <xf numFmtId="0" fontId="0" fillId="0" borderId="37" xfId="0" applyFont="1" applyBorder="1"/>
    <xf numFmtId="0" fontId="3" fillId="3" borderId="38" xfId="0" applyNumberFormat="1" applyFont="1" applyFill="1" applyBorder="1" applyAlignment="1">
      <alignment horizontal="center" vertical="center" wrapText="1"/>
    </xf>
    <xf numFmtId="0" fontId="3" fillId="3" borderId="39" xfId="0" applyNumberFormat="1" applyFont="1" applyFill="1" applyBorder="1" applyAlignment="1">
      <alignment horizontal="center" vertical="center" wrapText="1"/>
    </xf>
    <xf numFmtId="0" fontId="3" fillId="3" borderId="27" xfId="0" applyNumberFormat="1" applyFont="1" applyFill="1" applyBorder="1" applyAlignment="1">
      <alignment horizontal="center" vertical="center" wrapText="1"/>
    </xf>
    <xf numFmtId="0" fontId="22" fillId="5" borderId="8" xfId="0" applyFont="1" applyFill="1" applyBorder="1" applyAlignment="1">
      <alignment horizontal="center" vertical="center"/>
    </xf>
    <xf numFmtId="0" fontId="0" fillId="0" borderId="45" xfId="0" applyBorder="1"/>
    <xf numFmtId="0" fontId="0" fillId="0" borderId="30" xfId="0" applyBorder="1"/>
    <xf numFmtId="0" fontId="12" fillId="0" borderId="46" xfId="0" applyFont="1" applyBorder="1" applyAlignment="1">
      <alignment horizontal="center" vertical="center"/>
    </xf>
    <xf numFmtId="0" fontId="1" fillId="2" borderId="48" xfId="0" applyNumberFormat="1" applyFont="1" applyFill="1" applyBorder="1" applyAlignment="1">
      <alignment horizontal="center" vertical="center"/>
    </xf>
    <xf numFmtId="0" fontId="1" fillId="2" borderId="49" xfId="0" applyNumberFormat="1" applyFont="1" applyFill="1" applyBorder="1" applyAlignment="1">
      <alignment horizontal="center" vertical="center"/>
    </xf>
    <xf numFmtId="0" fontId="1" fillId="7" borderId="14" xfId="0" applyNumberFormat="1" applyFont="1" applyFill="1" applyBorder="1" applyAlignment="1">
      <alignment horizontal="center" vertical="center"/>
    </xf>
    <xf numFmtId="0" fontId="1" fillId="7" borderId="9" xfId="0" applyNumberFormat="1" applyFont="1" applyFill="1" applyBorder="1" applyAlignment="1">
      <alignment horizontal="center" vertical="center"/>
    </xf>
    <xf numFmtId="0" fontId="8" fillId="6" borderId="50" xfId="0" applyNumberFormat="1" applyFont="1" applyFill="1" applyBorder="1" applyAlignment="1">
      <alignment horizontal="center" vertical="center" wrapText="1"/>
    </xf>
    <xf numFmtId="49" fontId="23" fillId="0" borderId="0" xfId="0" applyNumberFormat="1" applyFont="1" applyBorder="1" applyAlignment="1">
      <alignment vertical="center"/>
    </xf>
    <xf numFmtId="0" fontId="6" fillId="2" borderId="22" xfId="0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6" fillId="2" borderId="13" xfId="0" applyFont="1" applyFill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7" borderId="10" xfId="0" applyFont="1" applyFill="1" applyBorder="1" applyAlignment="1">
      <alignment horizontal="center" vertical="center"/>
    </xf>
    <xf numFmtId="0" fontId="6" fillId="7" borderId="13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/>
    </xf>
    <xf numFmtId="0" fontId="17" fillId="4" borderId="11" xfId="0" applyFont="1" applyFill="1" applyBorder="1" applyAlignment="1">
      <alignment horizontal="center" vertical="center"/>
    </xf>
    <xf numFmtId="0" fontId="17" fillId="7" borderId="11" xfId="0" applyFont="1" applyFill="1" applyBorder="1" applyAlignment="1">
      <alignment horizontal="center" vertical="center"/>
    </xf>
    <xf numFmtId="0" fontId="17" fillId="2" borderId="17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40" xfId="0" applyFont="1" applyFill="1" applyBorder="1" applyAlignment="1">
      <alignment horizontal="center" vertical="center"/>
    </xf>
    <xf numFmtId="0" fontId="1" fillId="2" borderId="41" xfId="0" applyFont="1" applyFill="1" applyBorder="1" applyAlignment="1">
      <alignment horizontal="center" vertical="center"/>
    </xf>
    <xf numFmtId="0" fontId="1" fillId="2" borderId="42" xfId="0" applyFont="1" applyFill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1" fillId="2" borderId="51" xfId="0" applyNumberFormat="1" applyFont="1" applyFill="1" applyBorder="1" applyAlignment="1">
      <alignment horizontal="center" vertical="center"/>
    </xf>
    <xf numFmtId="0" fontId="0" fillId="0" borderId="35" xfId="0" applyNumberFormat="1" applyBorder="1"/>
    <xf numFmtId="0" fontId="1" fillId="7" borderId="4" xfId="0" applyFont="1" applyFill="1" applyBorder="1" applyAlignment="1">
      <alignment horizontal="center" vertical="center"/>
    </xf>
    <xf numFmtId="0" fontId="6" fillId="4" borderId="22" xfId="0" applyFont="1" applyFill="1" applyBorder="1" applyAlignment="1">
      <alignment horizontal="center" vertical="center"/>
    </xf>
    <xf numFmtId="0" fontId="6" fillId="4" borderId="21" xfId="0" applyFont="1" applyFill="1" applyBorder="1" applyAlignment="1">
      <alignment horizontal="center" vertical="center"/>
    </xf>
    <xf numFmtId="0" fontId="1" fillId="4" borderId="29" xfId="0" applyFont="1" applyFill="1" applyBorder="1" applyAlignment="1">
      <alignment horizontal="center" vertical="center"/>
    </xf>
    <xf numFmtId="0" fontId="17" fillId="4" borderId="20" xfId="0" applyFont="1" applyFill="1" applyBorder="1" applyAlignment="1">
      <alignment horizontal="center" vertical="center"/>
    </xf>
    <xf numFmtId="0" fontId="21" fillId="6" borderId="18" xfId="0" applyNumberFormat="1" applyFont="1" applyFill="1" applyBorder="1" applyAlignment="1">
      <alignment horizontal="center" vertical="center"/>
    </xf>
    <xf numFmtId="0" fontId="21" fillId="6" borderId="31" xfId="0" applyNumberFormat="1" applyFont="1" applyFill="1" applyBorder="1" applyAlignment="1">
      <alignment horizontal="center" vertical="center"/>
    </xf>
    <xf numFmtId="0" fontId="27" fillId="2" borderId="34" xfId="0" applyFont="1" applyFill="1" applyBorder="1" applyAlignment="1">
      <alignment horizontal="center" vertical="center"/>
    </xf>
    <xf numFmtId="0" fontId="27" fillId="2" borderId="35" xfId="0" applyFont="1" applyFill="1" applyBorder="1" applyAlignment="1">
      <alignment horizontal="center" vertical="center"/>
    </xf>
    <xf numFmtId="0" fontId="27" fillId="2" borderId="47" xfId="0" applyFont="1" applyFill="1" applyBorder="1" applyAlignment="1">
      <alignment horizontal="center" vertical="center"/>
    </xf>
    <xf numFmtId="0" fontId="24" fillId="2" borderId="23" xfId="0" applyFont="1" applyFill="1" applyBorder="1" applyAlignment="1">
      <alignment horizontal="center" vertical="center"/>
    </xf>
    <xf numFmtId="0" fontId="24" fillId="2" borderId="24" xfId="0" applyFont="1" applyFill="1" applyBorder="1" applyAlignment="1">
      <alignment horizontal="center" vertical="center"/>
    </xf>
    <xf numFmtId="0" fontId="24" fillId="2" borderId="7" xfId="0" applyFont="1" applyFill="1" applyBorder="1" applyAlignment="1">
      <alignment horizontal="center" vertical="center"/>
    </xf>
    <xf numFmtId="0" fontId="13" fillId="6" borderId="18" xfId="0" applyNumberFormat="1" applyFont="1" applyFill="1" applyBorder="1" applyAlignment="1">
      <alignment horizontal="center" vertical="center" wrapText="1"/>
    </xf>
    <xf numFmtId="0" fontId="13" fillId="6" borderId="31" xfId="0" applyNumberFormat="1" applyFont="1" applyFill="1" applyBorder="1" applyAlignment="1">
      <alignment horizontal="center" vertical="center" wrapText="1"/>
    </xf>
    <xf numFmtId="0" fontId="13" fillId="6" borderId="32" xfId="0" applyNumberFormat="1" applyFont="1" applyFill="1" applyBorder="1" applyAlignment="1">
      <alignment horizontal="center" vertical="center" wrapText="1"/>
    </xf>
    <xf numFmtId="0" fontId="13" fillId="6" borderId="18" xfId="0" applyNumberFormat="1" applyFont="1" applyFill="1" applyBorder="1" applyAlignment="1">
      <alignment horizontal="center" vertical="center"/>
    </xf>
    <xf numFmtId="0" fontId="13" fillId="6" borderId="31" xfId="0" applyNumberFormat="1" applyFont="1" applyFill="1" applyBorder="1" applyAlignment="1">
      <alignment horizontal="center" vertical="center"/>
    </xf>
    <xf numFmtId="0" fontId="13" fillId="6" borderId="32" xfId="0" applyNumberFormat="1" applyFont="1" applyFill="1" applyBorder="1" applyAlignment="1">
      <alignment horizontal="center" vertical="center"/>
    </xf>
    <xf numFmtId="0" fontId="14" fillId="6" borderId="34" xfId="0" applyFont="1" applyFill="1" applyBorder="1" applyAlignment="1">
      <alignment horizontal="center" vertical="center"/>
    </xf>
    <xf numFmtId="0" fontId="14" fillId="6" borderId="3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ABE9FF"/>
      <color rgb="FFE2EFD9"/>
      <color rgb="FFA8D08D"/>
      <color rgb="FFC9E2B7"/>
      <color rgb="FF532476"/>
      <color rgb="FF85DFFF"/>
      <color rgb="FF00B3F2"/>
      <color rgb="FF37CBFF"/>
      <color rgb="FF381850"/>
      <color rgb="FFC9E2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99"/>
  <sheetViews>
    <sheetView tabSelected="1" zoomScale="68" zoomScaleNormal="68" workbookViewId="0">
      <pane ySplit="5" topLeftCell="A6" activePane="bottomLeft" state="frozen"/>
      <selection pane="bottomLeft" activeCell="J7" sqref="J7"/>
    </sheetView>
  </sheetViews>
  <sheetFormatPr defaultRowHeight="14.25" x14ac:dyDescent="0.2"/>
  <cols>
    <col min="1" max="1" width="2.375" customWidth="1"/>
    <col min="2" max="4" width="16.25" style="5" customWidth="1"/>
    <col min="5" max="5" width="24.875" style="5" customWidth="1"/>
    <col min="6" max="6" width="9" style="36" customWidth="1"/>
    <col min="7" max="7" width="9" customWidth="1"/>
    <col min="8" max="8" width="9" style="36" customWidth="1"/>
    <col min="9" max="9" width="9" customWidth="1"/>
    <col min="10" max="10" width="9" style="36" customWidth="1"/>
    <col min="11" max="11" width="9" customWidth="1"/>
    <col min="12" max="12" width="9" style="36" customWidth="1"/>
    <col min="13" max="14" width="9" style="1" customWidth="1"/>
    <col min="15" max="20" width="13.875" style="1" customWidth="1"/>
    <col min="21" max="21" width="4.375" style="1" customWidth="1"/>
    <col min="22" max="22" width="14" customWidth="1"/>
    <col min="23" max="23" width="3" customWidth="1"/>
    <col min="24" max="24" width="11.25" customWidth="1"/>
    <col min="25" max="26" width="6.25" customWidth="1"/>
    <col min="27" max="28" width="11.25" customWidth="1"/>
    <col min="35" max="35" width="9" customWidth="1"/>
    <col min="36" max="36" width="4.75" customWidth="1"/>
    <col min="37" max="37" width="12.5" customWidth="1"/>
    <col min="38" max="38" width="11.5" customWidth="1"/>
    <col min="39" max="39" width="12.625" customWidth="1"/>
  </cols>
  <sheetData>
    <row r="1" spans="2:32" ht="15" customHeight="1" thickBot="1" x14ac:dyDescent="0.25">
      <c r="B1" s="3"/>
      <c r="C1" s="3"/>
      <c r="D1" s="3"/>
      <c r="E1" s="3"/>
      <c r="F1" s="32"/>
      <c r="G1" s="2"/>
      <c r="H1" s="32"/>
      <c r="I1" s="2"/>
      <c r="J1" s="32"/>
      <c r="K1" s="2"/>
      <c r="L1" s="32"/>
      <c r="M1" s="3"/>
      <c r="N1" s="3"/>
      <c r="O1" s="2"/>
      <c r="P1" s="2"/>
      <c r="Q1" s="2"/>
      <c r="R1" s="2"/>
      <c r="S1" s="2"/>
      <c r="T1" s="3"/>
      <c r="U1" s="3"/>
      <c r="V1" s="3"/>
    </row>
    <row r="2" spans="2:32" ht="37.5" customHeight="1" thickTop="1" thickBot="1" x14ac:dyDescent="0.25">
      <c r="B2" s="19"/>
      <c r="C2" s="61" t="s">
        <v>21</v>
      </c>
      <c r="D2" s="19"/>
      <c r="E2" s="97" t="s">
        <v>32</v>
      </c>
      <c r="F2" s="98"/>
      <c r="G2" s="98"/>
      <c r="H2" s="98"/>
      <c r="I2" s="98"/>
      <c r="J2" s="98"/>
      <c r="K2" s="98"/>
      <c r="L2" s="98"/>
      <c r="M2" s="98"/>
      <c r="N2" s="98"/>
      <c r="O2" s="98"/>
      <c r="P2" s="98"/>
      <c r="Q2" s="98"/>
      <c r="R2" s="98"/>
      <c r="S2" s="98"/>
      <c r="T2" s="99"/>
      <c r="U2" s="3"/>
      <c r="V2" s="3"/>
      <c r="X2" s="54"/>
      <c r="Y2" s="54"/>
      <c r="Z2" s="54"/>
    </row>
    <row r="3" spans="2:32" ht="38.25" customHeight="1" thickTop="1" thickBot="1" x14ac:dyDescent="0.25">
      <c r="B3" s="48"/>
      <c r="C3" s="48"/>
      <c r="D3" s="48"/>
      <c r="E3" s="38" t="s">
        <v>22</v>
      </c>
      <c r="F3" s="106" t="s">
        <v>41</v>
      </c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37" t="s">
        <v>40</v>
      </c>
      <c r="U3" s="53"/>
      <c r="V3" s="94" t="s">
        <v>30</v>
      </c>
      <c r="W3" s="95"/>
      <c r="X3" s="95"/>
      <c r="Y3" s="95"/>
      <c r="Z3" s="96"/>
    </row>
    <row r="4" spans="2:32" ht="37.5" customHeight="1" thickTop="1" thickBot="1" x14ac:dyDescent="0.25">
      <c r="B4" s="92" t="s">
        <v>29</v>
      </c>
      <c r="C4" s="93"/>
      <c r="D4" s="93"/>
      <c r="E4" s="52" t="s">
        <v>21</v>
      </c>
      <c r="F4" s="100" t="s">
        <v>24</v>
      </c>
      <c r="G4" s="101"/>
      <c r="H4" s="101"/>
      <c r="I4" s="101"/>
      <c r="J4" s="101"/>
      <c r="K4" s="101"/>
      <c r="L4" s="101"/>
      <c r="M4" s="102"/>
      <c r="N4" s="47" t="s">
        <v>7</v>
      </c>
      <c r="O4" s="103" t="s">
        <v>25</v>
      </c>
      <c r="P4" s="104"/>
      <c r="Q4" s="104"/>
      <c r="R4" s="104"/>
      <c r="S4" s="104"/>
      <c r="T4" s="105"/>
      <c r="U4" s="6"/>
      <c r="V4" s="28" t="s">
        <v>20</v>
      </c>
      <c r="W4" s="55"/>
      <c r="X4" s="29" t="s">
        <v>2</v>
      </c>
      <c r="Y4" s="30" t="s">
        <v>1</v>
      </c>
      <c r="Z4" s="30" t="s">
        <v>0</v>
      </c>
    </row>
    <row r="5" spans="2:32" ht="67.5" customHeight="1" thickTop="1" thickBot="1" x14ac:dyDescent="0.45">
      <c r="B5" s="49" t="s">
        <v>26</v>
      </c>
      <c r="C5" s="50" t="s">
        <v>27</v>
      </c>
      <c r="D5" s="51" t="s">
        <v>28</v>
      </c>
      <c r="E5" s="60" t="s">
        <v>23</v>
      </c>
      <c r="F5" s="41" t="s">
        <v>12</v>
      </c>
      <c r="G5" s="42" t="s">
        <v>3</v>
      </c>
      <c r="H5" s="41" t="s">
        <v>11</v>
      </c>
      <c r="I5" s="42" t="s">
        <v>4</v>
      </c>
      <c r="J5" s="43" t="s">
        <v>10</v>
      </c>
      <c r="K5" s="44" t="s">
        <v>5</v>
      </c>
      <c r="L5" s="45" t="s">
        <v>9</v>
      </c>
      <c r="M5" s="46" t="s">
        <v>8</v>
      </c>
      <c r="N5" s="16" t="s">
        <v>6</v>
      </c>
      <c r="O5" s="39" t="s">
        <v>16</v>
      </c>
      <c r="P5" s="39" t="s">
        <v>17</v>
      </c>
      <c r="Q5" s="39" t="s">
        <v>18</v>
      </c>
      <c r="R5" s="39" t="s">
        <v>19</v>
      </c>
      <c r="S5" s="39" t="s">
        <v>15</v>
      </c>
      <c r="T5" s="40" t="s">
        <v>14</v>
      </c>
      <c r="U5"/>
      <c r="V5" s="27">
        <f>xx(Z5,Y5,X5)</f>
        <v>43.86</v>
      </c>
      <c r="W5" s="25"/>
      <c r="X5" s="26" t="s">
        <v>31</v>
      </c>
      <c r="Y5" s="26" t="s">
        <v>45</v>
      </c>
      <c r="Z5" s="26" t="s">
        <v>44</v>
      </c>
    </row>
    <row r="6" spans="2:32" s="21" customFormat="1" ht="4.5" hidden="1" customHeight="1" thickTop="1" thickBot="1" x14ac:dyDescent="0.25">
      <c r="B6" s="22"/>
      <c r="C6" s="22"/>
      <c r="D6" s="22"/>
      <c r="E6" s="23"/>
      <c r="F6" s="33"/>
      <c r="G6" s="22"/>
      <c r="H6" s="33"/>
      <c r="I6" s="22"/>
      <c r="J6" s="33"/>
      <c r="K6" s="22"/>
      <c r="L6" s="33"/>
      <c r="M6" s="22"/>
      <c r="N6" s="20"/>
      <c r="O6" s="24"/>
      <c r="P6" s="24"/>
      <c r="Q6" s="24"/>
      <c r="R6" s="24"/>
      <c r="S6" s="24"/>
      <c r="T6" s="24"/>
    </row>
    <row r="7" spans="2:32" ht="30.75" customHeight="1" thickTop="1" thickBot="1" x14ac:dyDescent="0.25">
      <c r="B7" s="80"/>
      <c r="C7" s="81"/>
      <c r="D7" s="81"/>
      <c r="E7" s="90" t="s">
        <v>42</v>
      </c>
      <c r="F7" s="91">
        <v>2</v>
      </c>
      <c r="G7" s="13">
        <f>kkk(T7,S7,R7,Q7,P7,O7,4)</f>
        <v>55.11</v>
      </c>
      <c r="H7" s="91">
        <v>2</v>
      </c>
      <c r="I7" s="11">
        <f>kkk(T7,S7,R7,Q7,P7,O7,3)</f>
        <v>53.55</v>
      </c>
      <c r="J7" s="91">
        <v>2</v>
      </c>
      <c r="K7" s="11">
        <f>kkk(T7,S7,R7,Q7,P7,O7,2)</f>
        <v>55.48</v>
      </c>
      <c r="L7" s="91">
        <v>2</v>
      </c>
      <c r="M7" s="11">
        <f>kkk(T7,S7,R7,Q7,P7,O7,1)</f>
        <v>52.44</v>
      </c>
      <c r="N7" s="70">
        <v>18.78</v>
      </c>
      <c r="O7" s="88">
        <v>33.33</v>
      </c>
      <c r="P7" s="88">
        <v>50</v>
      </c>
      <c r="Q7" s="88">
        <v>73.33</v>
      </c>
      <c r="R7" s="88">
        <v>55.56</v>
      </c>
      <c r="S7" s="88">
        <v>45</v>
      </c>
      <c r="T7" s="89">
        <v>82.22</v>
      </c>
      <c r="U7"/>
    </row>
    <row r="8" spans="2:32" ht="30.75" customHeight="1" thickTop="1" thickBot="1" x14ac:dyDescent="0.25">
      <c r="B8" s="82"/>
      <c r="C8" s="83"/>
      <c r="D8" s="83"/>
      <c r="E8" s="76"/>
      <c r="F8" s="72">
        <v>6</v>
      </c>
      <c r="G8" s="12">
        <f>kkk(T8,S8,R8,Q8,P8,O8,4)</f>
        <v>45.02</v>
      </c>
      <c r="H8" s="72">
        <v>6</v>
      </c>
      <c r="I8" s="10">
        <f>kkk(T8,S8,R8,Q8,P8,O8,3)</f>
        <v>43.58</v>
      </c>
      <c r="J8" s="72">
        <v>7</v>
      </c>
      <c r="K8" s="10">
        <f>kkk(T8,S8,R8,Q8,P8,O8,2)</f>
        <v>45.08</v>
      </c>
      <c r="L8" s="72">
        <v>4</v>
      </c>
      <c r="M8" s="10">
        <f>kkk(T8,S8,R8,Q8,P8,O8,1)</f>
        <v>45.19</v>
      </c>
      <c r="N8" s="71">
        <v>16.78</v>
      </c>
      <c r="O8" s="64">
        <v>49.12</v>
      </c>
      <c r="P8" s="64">
        <v>25</v>
      </c>
      <c r="Q8" s="64">
        <v>46.67</v>
      </c>
      <c r="R8" s="64">
        <v>25.93</v>
      </c>
      <c r="S8" s="64">
        <v>63.33</v>
      </c>
      <c r="T8" s="65">
        <v>87.78</v>
      </c>
      <c r="U8"/>
    </row>
    <row r="9" spans="2:32" ht="30.75" customHeight="1" thickTop="1" thickBot="1" x14ac:dyDescent="0.25">
      <c r="B9" s="82"/>
      <c r="C9" s="83"/>
      <c r="D9" s="83"/>
      <c r="E9" s="76"/>
      <c r="F9" s="72">
        <v>9</v>
      </c>
      <c r="G9" s="12">
        <f>kkk(T9,S9,R9,Q9,P9,O9,4)</f>
        <v>41.18</v>
      </c>
      <c r="H9" s="72">
        <v>9</v>
      </c>
      <c r="I9" s="10">
        <f>kkk(T9,S9,R9,Q9,P9,O9,3)</f>
        <v>42.51</v>
      </c>
      <c r="J9" s="72">
        <v>9</v>
      </c>
      <c r="K9" s="10">
        <f>kkk(T9,S9,R9,Q9,P9,O9,2)</f>
        <v>40.17</v>
      </c>
      <c r="L9" s="72">
        <v>11</v>
      </c>
      <c r="M9" s="10">
        <f>kkk(T9,S9,R9,Q9,P9,O9,1)</f>
        <v>40.4</v>
      </c>
      <c r="N9" s="71">
        <v>20</v>
      </c>
      <c r="O9" s="64">
        <v>31.58</v>
      </c>
      <c r="P9" s="64">
        <v>63.33</v>
      </c>
      <c r="Q9" s="64">
        <v>43.33</v>
      </c>
      <c r="R9" s="64">
        <v>48.15</v>
      </c>
      <c r="S9" s="64">
        <v>31.67</v>
      </c>
      <c r="T9" s="65">
        <v>0</v>
      </c>
      <c r="U9"/>
      <c r="AA9" s="3"/>
      <c r="AB9" s="3"/>
      <c r="AC9" s="3"/>
      <c r="AD9" s="3"/>
      <c r="AE9" s="3"/>
      <c r="AF9" s="3"/>
    </row>
    <row r="10" spans="2:32" ht="30.75" customHeight="1" thickTop="1" thickBot="1" x14ac:dyDescent="0.25">
      <c r="B10" s="82"/>
      <c r="C10" s="83"/>
      <c r="D10" s="83"/>
      <c r="E10" s="76"/>
      <c r="F10" s="72">
        <v>11</v>
      </c>
      <c r="G10" s="12">
        <f>kkk(T10,S10,R10,Q10,P10,O10,4)</f>
        <v>42.47</v>
      </c>
      <c r="H10" s="72">
        <v>8</v>
      </c>
      <c r="I10" s="10">
        <f>kkk(T10,S10,R10,Q10,P10,O10,3)</f>
        <v>44.25</v>
      </c>
      <c r="J10" s="72">
        <v>11</v>
      </c>
      <c r="K10" s="10">
        <f>kkk(T10,S10,R10,Q10,P10,O10,2)</f>
        <v>40.36</v>
      </c>
      <c r="L10" s="72">
        <v>8</v>
      </c>
      <c r="M10" s="10">
        <f>kkk(T10,S10,R10,Q10,P10,O10,1)</f>
        <v>43.08</v>
      </c>
      <c r="N10" s="71">
        <v>18.37</v>
      </c>
      <c r="O10" s="64">
        <v>47.37</v>
      </c>
      <c r="P10" s="64">
        <v>65</v>
      </c>
      <c r="Q10" s="64">
        <v>38.33</v>
      </c>
      <c r="R10" s="64">
        <v>33.33</v>
      </c>
      <c r="S10" s="64">
        <v>10</v>
      </c>
      <c r="T10" s="65">
        <v>60</v>
      </c>
      <c r="U10"/>
    </row>
    <row r="11" spans="2:32" ht="30.75" customHeight="1" thickTop="1" thickBot="1" x14ac:dyDescent="0.25">
      <c r="B11" s="82"/>
      <c r="C11" s="83"/>
      <c r="D11" s="83"/>
      <c r="E11" s="76"/>
      <c r="F11" s="72">
        <v>13</v>
      </c>
      <c r="G11" s="12">
        <f>kkk(T11,S11,R11,Q11,P11,O11,4)</f>
        <v>41.18</v>
      </c>
      <c r="H11" s="72">
        <v>15</v>
      </c>
      <c r="I11" s="10">
        <f>kkk(T11,S11,R11,Q11,P11,O11,3)</f>
        <v>41.4</v>
      </c>
      <c r="J11" s="72">
        <v>14</v>
      </c>
      <c r="K11" s="10">
        <f>kkk(T11,S11,R11,Q11,P11,O11,2)</f>
        <v>40.25</v>
      </c>
      <c r="L11" s="72">
        <v>15</v>
      </c>
      <c r="M11" s="10">
        <f>kkk(T11,S11,R11,Q11,P11,O11,1)</f>
        <v>40.44</v>
      </c>
      <c r="N11" s="71">
        <v>18.09</v>
      </c>
      <c r="O11" s="64">
        <v>43.86</v>
      </c>
      <c r="P11" s="64">
        <v>58.33</v>
      </c>
      <c r="Q11" s="64">
        <v>55</v>
      </c>
      <c r="R11" s="64">
        <v>44.44</v>
      </c>
      <c r="S11" s="64">
        <v>0</v>
      </c>
      <c r="T11" s="65">
        <v>2.2200000000000002</v>
      </c>
      <c r="U11"/>
    </row>
    <row r="12" spans="2:32" ht="30.75" customHeight="1" thickTop="1" thickBot="1" x14ac:dyDescent="0.25">
      <c r="B12" s="82"/>
      <c r="C12" s="83"/>
      <c r="D12" s="83"/>
      <c r="E12" s="76"/>
      <c r="F12" s="72">
        <v>17</v>
      </c>
      <c r="G12" s="12">
        <f>kkk(T12,S12,R12,Q12,P12,O12,4)</f>
        <v>40.32</v>
      </c>
      <c r="H12" s="72">
        <v>13</v>
      </c>
      <c r="I12" s="10">
        <f>kkk(T12,S12,R12,Q12,P12,O12,3)</f>
        <v>42.87</v>
      </c>
      <c r="J12" s="72">
        <v>15</v>
      </c>
      <c r="K12" s="10">
        <f>kkk(T12,S12,R12,Q12,P12,O12,2)</f>
        <v>39.47</v>
      </c>
      <c r="L12" s="72">
        <v>17</v>
      </c>
      <c r="M12" s="10">
        <f>kkk(T12,S12,R12,Q12,P12,O12,1)</f>
        <v>40.19</v>
      </c>
      <c r="N12" s="71"/>
      <c r="O12" s="64">
        <v>28.07</v>
      </c>
      <c r="P12" s="64">
        <v>68.33</v>
      </c>
      <c r="Q12" s="64">
        <v>30</v>
      </c>
      <c r="R12" s="64">
        <v>55.56</v>
      </c>
      <c r="S12" s="64">
        <v>33.33</v>
      </c>
      <c r="T12" s="65">
        <v>17.78</v>
      </c>
      <c r="U12"/>
    </row>
    <row r="13" spans="2:32" ht="30.75" customHeight="1" thickTop="1" thickBot="1" x14ac:dyDescent="0.25">
      <c r="B13" s="82"/>
      <c r="C13" s="76"/>
      <c r="D13" s="83"/>
      <c r="E13" s="76"/>
      <c r="F13" s="72">
        <v>15</v>
      </c>
      <c r="G13" s="12">
        <f>kkk(T13,S13,R13,Q13,P13,O13,4)</f>
        <v>42.75</v>
      </c>
      <c r="H13" s="72">
        <v>14</v>
      </c>
      <c r="I13" s="10">
        <f>kkk(T13,S13,R13,Q13,P13,O13,3)</f>
        <v>44.41</v>
      </c>
      <c r="J13" s="72">
        <v>17</v>
      </c>
      <c r="K13" s="10">
        <f>kkk(T13,S13,R13,Q13,P13,O13,2)</f>
        <v>40.99</v>
      </c>
      <c r="L13" s="72">
        <v>12</v>
      </c>
      <c r="M13" s="10">
        <f>kkk(T13,S13,R13,Q13,P13,O13,1)</f>
        <v>43.11</v>
      </c>
      <c r="N13" s="71">
        <v>15.54</v>
      </c>
      <c r="O13" s="64">
        <v>43.86</v>
      </c>
      <c r="P13" s="64">
        <v>63.33</v>
      </c>
      <c r="Q13" s="64">
        <v>38.33</v>
      </c>
      <c r="R13" s="64">
        <v>37.04</v>
      </c>
      <c r="S13" s="64">
        <v>20</v>
      </c>
      <c r="T13" s="65">
        <v>52.22</v>
      </c>
      <c r="U13"/>
    </row>
    <row r="14" spans="2:32" ht="30.75" customHeight="1" thickTop="1" thickBot="1" x14ac:dyDescent="0.25">
      <c r="B14" s="82"/>
      <c r="C14" s="76"/>
      <c r="D14" s="83"/>
      <c r="E14" s="76"/>
      <c r="F14" s="72">
        <v>20</v>
      </c>
      <c r="G14" s="12">
        <f>kkk(T14,S14,R14,Q14,P14,O14,4)</f>
        <v>39.54</v>
      </c>
      <c r="H14" s="72">
        <v>20</v>
      </c>
      <c r="I14" s="10">
        <f>kkk(T14,S14,R14,Q14,P14,O14,3)</f>
        <v>40.090000000000003</v>
      </c>
      <c r="J14" s="72">
        <v>20</v>
      </c>
      <c r="K14" s="10">
        <f>kkk(T14,S14,R14,Q14,P14,O14,2)</f>
        <v>38.94</v>
      </c>
      <c r="L14" s="72">
        <v>21</v>
      </c>
      <c r="M14" s="10">
        <f>kkk(T14,S14,R14,Q14,P14,O14,1)</f>
        <v>38.869999999999997</v>
      </c>
      <c r="N14" s="71">
        <v>17.89</v>
      </c>
      <c r="O14" s="64">
        <v>35.090000000000003</v>
      </c>
      <c r="P14" s="64">
        <v>53.33</v>
      </c>
      <c r="Q14" s="64">
        <v>45</v>
      </c>
      <c r="R14" s="64">
        <v>44.44</v>
      </c>
      <c r="S14" s="64">
        <v>15</v>
      </c>
      <c r="T14" s="65">
        <v>28.89</v>
      </c>
      <c r="U14"/>
    </row>
    <row r="15" spans="2:32" ht="30.75" customHeight="1" thickTop="1" thickBot="1" x14ac:dyDescent="0.25">
      <c r="B15" s="82"/>
      <c r="C15" s="76"/>
      <c r="D15" s="83"/>
      <c r="E15" s="76"/>
      <c r="F15" s="72">
        <v>32</v>
      </c>
      <c r="G15" s="12">
        <f>kkk(T15,S15,R15,Q15,P15,O15,4)</f>
        <v>34.729999999999997</v>
      </c>
      <c r="H15" s="72">
        <v>35</v>
      </c>
      <c r="I15" s="10">
        <f>kkk(T15,S15,R15,Q15,P15,O15,3)</f>
        <v>34.39</v>
      </c>
      <c r="J15" s="72">
        <v>24</v>
      </c>
      <c r="K15" s="10">
        <f>kkk(T15,S15,R15,Q15,P15,O15,2)</f>
        <v>36.369999999999997</v>
      </c>
      <c r="L15" s="72">
        <v>31</v>
      </c>
      <c r="M15" s="10">
        <f>kkk(T15,S15,R15,Q15,P15,O15,1)</f>
        <v>34.06</v>
      </c>
      <c r="N15" s="71"/>
      <c r="O15" s="64">
        <v>33.33</v>
      </c>
      <c r="P15" s="64">
        <v>38.33</v>
      </c>
      <c r="Q15" s="64">
        <v>43.33</v>
      </c>
      <c r="R15" s="64">
        <v>62.96</v>
      </c>
      <c r="S15" s="64">
        <v>3.33</v>
      </c>
      <c r="T15" s="65">
        <v>0</v>
      </c>
      <c r="U15"/>
    </row>
    <row r="16" spans="2:32" ht="30.75" customHeight="1" thickTop="1" thickBot="1" x14ac:dyDescent="0.25">
      <c r="B16" s="82"/>
      <c r="C16" s="76"/>
      <c r="D16" s="83"/>
      <c r="E16" s="76"/>
      <c r="F16" s="72">
        <v>25</v>
      </c>
      <c r="G16" s="12">
        <f>kkk(T16,S16,R16,Q16,P16,O16,4)</f>
        <v>37.58</v>
      </c>
      <c r="H16" s="72">
        <v>24</v>
      </c>
      <c r="I16" s="10">
        <f>kkk(T16,S16,R16,Q16,P16,O16,3)</f>
        <v>38.130000000000003</v>
      </c>
      <c r="J16" s="72">
        <v>26</v>
      </c>
      <c r="K16" s="10">
        <f>kkk(T16,S16,R16,Q16,P16,O16,2)</f>
        <v>36</v>
      </c>
      <c r="L16" s="72">
        <v>23</v>
      </c>
      <c r="M16" s="10">
        <f>kkk(T16,S16,R16,Q16,P16,O16,1)</f>
        <v>36.799999999999997</v>
      </c>
      <c r="N16" s="71">
        <v>18.920000000000002</v>
      </c>
      <c r="O16" s="64">
        <v>33.33</v>
      </c>
      <c r="P16" s="64">
        <v>53.33</v>
      </c>
      <c r="Q16" s="64">
        <v>45</v>
      </c>
      <c r="R16" s="64">
        <v>29.63</v>
      </c>
      <c r="S16" s="64">
        <v>13.33</v>
      </c>
      <c r="T16" s="65">
        <v>37.78</v>
      </c>
      <c r="U16"/>
    </row>
    <row r="17" spans="2:39" ht="30.75" customHeight="1" thickTop="1" thickBot="1" x14ac:dyDescent="0.25">
      <c r="B17" s="82"/>
      <c r="C17" s="76"/>
      <c r="D17" s="83"/>
      <c r="E17" s="76"/>
      <c r="F17" s="72">
        <v>31</v>
      </c>
      <c r="G17" s="12">
        <f>kkk(T17,S17,R17,Q17,P17,O17,4)</f>
        <v>37.020000000000003</v>
      </c>
      <c r="H17" s="72">
        <v>38</v>
      </c>
      <c r="I17" s="10">
        <f>kkk(T17,S17,R17,Q17,P17,O17,3)</f>
        <v>35.909999999999997</v>
      </c>
      <c r="J17" s="72">
        <v>29</v>
      </c>
      <c r="K17" s="10">
        <f>kkk(T17,S17,R17,Q17,P17,O17,2)</f>
        <v>37.32</v>
      </c>
      <c r="L17" s="72">
        <v>39</v>
      </c>
      <c r="M17" s="10">
        <f>kkk(T17,S17,R17,Q17,P17,O17,1)</f>
        <v>34.65</v>
      </c>
      <c r="N17" s="71"/>
      <c r="O17" s="64">
        <v>21.05</v>
      </c>
      <c r="P17" s="64">
        <v>40</v>
      </c>
      <c r="Q17" s="64">
        <v>56.67</v>
      </c>
      <c r="R17" s="64">
        <v>44.44</v>
      </c>
      <c r="S17" s="64">
        <v>28.33</v>
      </c>
      <c r="T17" s="65">
        <v>0</v>
      </c>
      <c r="U17"/>
    </row>
    <row r="18" spans="2:39" s="4" customFormat="1" ht="30.75" customHeight="1" thickTop="1" thickBot="1" x14ac:dyDescent="0.25">
      <c r="B18" s="82"/>
      <c r="C18" s="76"/>
      <c r="D18" s="83"/>
      <c r="E18" s="77" t="s">
        <v>43</v>
      </c>
      <c r="F18" s="73">
        <v>33</v>
      </c>
      <c r="G18" s="13">
        <f>kkk(T18,S18,R18,Q18,P18,O18,4)</f>
        <v>35.04</v>
      </c>
      <c r="H18" s="73">
        <v>33</v>
      </c>
      <c r="I18" s="11">
        <f>kkk(T18,S18,R18,Q18,P18,O18,3)</f>
        <v>34.82</v>
      </c>
      <c r="J18" s="73">
        <v>29</v>
      </c>
      <c r="K18" s="11">
        <f>kkk(T18,S18,R18,Q18,P18,O18,2)</f>
        <v>35.72</v>
      </c>
      <c r="L18" s="73">
        <v>34</v>
      </c>
      <c r="M18" s="11">
        <f>kkk(T18,S18,R18,Q18,P18,O18,1)</f>
        <v>34.15</v>
      </c>
      <c r="N18" s="71">
        <v>19.059999999999999</v>
      </c>
      <c r="O18" s="66">
        <v>31.58</v>
      </c>
      <c r="P18" s="66">
        <v>41.67</v>
      </c>
      <c r="Q18" s="66">
        <v>45</v>
      </c>
      <c r="R18" s="66">
        <v>51.85</v>
      </c>
      <c r="S18" s="66">
        <v>8.33</v>
      </c>
      <c r="T18" s="67">
        <v>5.56</v>
      </c>
      <c r="V18"/>
      <c r="W18"/>
      <c r="X18"/>
      <c r="Y18"/>
      <c r="Z18"/>
      <c r="AA18"/>
      <c r="AB18"/>
      <c r="AC18"/>
      <c r="AD18"/>
      <c r="AE18"/>
      <c r="AF18"/>
      <c r="AL18"/>
      <c r="AM18"/>
    </row>
    <row r="19" spans="2:39" ht="30.75" customHeight="1" thickTop="1" thickBot="1" x14ac:dyDescent="0.25">
      <c r="B19" s="82"/>
      <c r="C19" s="76"/>
      <c r="D19" s="83"/>
      <c r="E19" s="76"/>
      <c r="F19" s="72">
        <v>28</v>
      </c>
      <c r="G19" s="12">
        <f>kkk(T19,S19,R19,Q19,P19,O19,4)</f>
        <v>35.86</v>
      </c>
      <c r="H19" s="72">
        <v>28</v>
      </c>
      <c r="I19" s="10">
        <f>kkk(T19,S19,R19,Q19,P19,O19,3)</f>
        <v>35.53</v>
      </c>
      <c r="J19" s="72">
        <v>30</v>
      </c>
      <c r="K19" s="10">
        <f>kkk(T19,S19,R19,Q19,P19,O19,2)</f>
        <v>34.61</v>
      </c>
      <c r="L19" s="72">
        <v>32</v>
      </c>
      <c r="M19" s="10">
        <f>kkk(T19,S19,R19,Q19,P19,O19,1)</f>
        <v>33.94</v>
      </c>
      <c r="N19" s="71">
        <v>18.82</v>
      </c>
      <c r="O19" s="64">
        <v>24.56</v>
      </c>
      <c r="P19" s="64">
        <v>48.33</v>
      </c>
      <c r="Q19" s="64">
        <v>53.33</v>
      </c>
      <c r="R19" s="64">
        <v>29.63</v>
      </c>
      <c r="S19" s="64">
        <v>23.33</v>
      </c>
      <c r="T19" s="65">
        <v>0</v>
      </c>
      <c r="U19"/>
    </row>
    <row r="20" spans="2:39" ht="30.75" customHeight="1" thickTop="1" thickBot="1" x14ac:dyDescent="0.25">
      <c r="B20" s="82"/>
      <c r="C20" s="83"/>
      <c r="D20" s="83"/>
      <c r="E20" s="76"/>
      <c r="F20" s="72">
        <v>36</v>
      </c>
      <c r="G20" s="12">
        <f>kkk(T20,S20,R20,Q20,P20,O20,4)</f>
        <v>34.47</v>
      </c>
      <c r="H20" s="72">
        <v>43</v>
      </c>
      <c r="I20" s="10">
        <f>kkk(T20,S20,R20,Q20,P20,O20,3)</f>
        <v>33.69</v>
      </c>
      <c r="J20" s="72">
        <v>34</v>
      </c>
      <c r="K20" s="10">
        <f>kkk(T20,S20,R20,Q20,P20,O20,2)</f>
        <v>34.36</v>
      </c>
      <c r="L20" s="72">
        <v>40</v>
      </c>
      <c r="M20" s="10">
        <f>kkk(T20,S20,R20,Q20,P20,O20,1)</f>
        <v>32.76</v>
      </c>
      <c r="N20" s="71">
        <v>18.41</v>
      </c>
      <c r="O20" s="64">
        <v>21.05</v>
      </c>
      <c r="P20" s="64">
        <v>35</v>
      </c>
      <c r="Q20" s="64">
        <v>46.67</v>
      </c>
      <c r="R20" s="64">
        <v>33.33</v>
      </c>
      <c r="S20" s="64">
        <v>30</v>
      </c>
      <c r="T20" s="65">
        <v>35.56</v>
      </c>
      <c r="U20"/>
      <c r="Y20" s="4"/>
    </row>
    <row r="21" spans="2:39" ht="30.75" customHeight="1" thickTop="1" thickBot="1" x14ac:dyDescent="0.25">
      <c r="B21" s="82"/>
      <c r="C21" s="83"/>
      <c r="D21" s="83"/>
      <c r="E21" s="76"/>
      <c r="F21" s="72">
        <v>38</v>
      </c>
      <c r="G21" s="12">
        <f>kkk(T21,S21,R21,Q21,P21,O21,4)</f>
        <v>32.46</v>
      </c>
      <c r="H21" s="72">
        <v>36</v>
      </c>
      <c r="I21" s="10">
        <f>kkk(T21,S21,R21,Q21,P21,O21,3)</f>
        <v>33.020000000000003</v>
      </c>
      <c r="J21" s="72">
        <v>38</v>
      </c>
      <c r="K21" s="10">
        <f>kkk(T21,S21,R21,Q21,P21,O21,2)</f>
        <v>31.68</v>
      </c>
      <c r="L21" s="72">
        <v>33</v>
      </c>
      <c r="M21" s="10">
        <f>kkk(T21,S21,R21,Q21,P21,O21,1)</f>
        <v>32.36</v>
      </c>
      <c r="N21" s="71">
        <v>19.73</v>
      </c>
      <c r="O21" s="64">
        <v>35.090000000000003</v>
      </c>
      <c r="P21" s="64">
        <v>45</v>
      </c>
      <c r="Q21" s="64">
        <v>36.67</v>
      </c>
      <c r="R21" s="64">
        <v>33.33</v>
      </c>
      <c r="S21" s="64">
        <v>15</v>
      </c>
      <c r="T21" s="65">
        <v>3.33</v>
      </c>
      <c r="U21"/>
      <c r="AD21" s="4"/>
      <c r="AE21" s="4"/>
      <c r="AF21" s="4"/>
    </row>
    <row r="22" spans="2:39" ht="30.75" customHeight="1" thickTop="1" thickBot="1" x14ac:dyDescent="0.25">
      <c r="B22" s="82"/>
      <c r="C22" s="83"/>
      <c r="D22" s="83"/>
      <c r="E22" s="76"/>
      <c r="F22" s="72">
        <v>34</v>
      </c>
      <c r="G22" s="12">
        <f>kkk(T22,S22,R22,Q22,P22,O22,4)</f>
        <v>33.33</v>
      </c>
      <c r="H22" s="72">
        <v>25</v>
      </c>
      <c r="I22" s="10">
        <f>kkk(T22,S22,R22,Q22,P22,O22,3)</f>
        <v>35.549999999999997</v>
      </c>
      <c r="J22" s="72">
        <v>40</v>
      </c>
      <c r="K22" s="10">
        <f>kkk(T22,S22,R22,Q22,P22,O22,2)</f>
        <v>31.44</v>
      </c>
      <c r="L22" s="72">
        <v>29</v>
      </c>
      <c r="M22" s="10">
        <f>kkk(T22,S22,R22,Q22,P22,O22,1)</f>
        <v>33.9</v>
      </c>
      <c r="N22" s="71">
        <v>20</v>
      </c>
      <c r="O22" s="64">
        <v>36.840000000000003</v>
      </c>
      <c r="P22" s="64">
        <v>61.67</v>
      </c>
      <c r="Q22" s="64">
        <v>28.33</v>
      </c>
      <c r="R22" s="64">
        <v>33.33</v>
      </c>
      <c r="S22" s="64">
        <v>6.67</v>
      </c>
      <c r="T22" s="65">
        <v>11.11</v>
      </c>
      <c r="U22"/>
      <c r="AD22" s="4"/>
    </row>
    <row r="23" spans="2:39" ht="30.75" customHeight="1" thickTop="1" thickBot="1" x14ac:dyDescent="0.25">
      <c r="B23" s="82"/>
      <c r="C23" s="83"/>
      <c r="D23" s="83"/>
      <c r="E23" s="76"/>
      <c r="F23" s="72">
        <v>56</v>
      </c>
      <c r="G23" s="12">
        <f>kkk(T23,S23,R23,Q23,P23,O23,4)</f>
        <v>34.94</v>
      </c>
      <c r="H23" s="72">
        <v>65</v>
      </c>
      <c r="I23" s="10">
        <f>kkk(T23,S23,R23,Q23,P23,O23,3)</f>
        <v>33.94</v>
      </c>
      <c r="J23" s="72">
        <v>45</v>
      </c>
      <c r="K23" s="10">
        <f>kkk(T23,S23,R23,Q23,P23,O23,2)</f>
        <v>35.19</v>
      </c>
      <c r="L23" s="72">
        <v>65</v>
      </c>
      <c r="M23" s="10">
        <f>kkk(T23,S23,R23,Q23,P23,O23,1)</f>
        <v>33.47</v>
      </c>
      <c r="N23" s="71">
        <v>14.04</v>
      </c>
      <c r="O23" s="64">
        <v>26.32</v>
      </c>
      <c r="P23" s="64">
        <v>33.33</v>
      </c>
      <c r="Q23" s="64">
        <v>48.33</v>
      </c>
      <c r="R23" s="64">
        <v>37.04</v>
      </c>
      <c r="S23" s="64">
        <v>20</v>
      </c>
      <c r="T23" s="65">
        <v>37.78</v>
      </c>
      <c r="U23"/>
      <c r="AD23" s="4"/>
    </row>
    <row r="24" spans="2:39" ht="30.75" customHeight="1" thickTop="1" thickBot="1" x14ac:dyDescent="0.25">
      <c r="B24" s="82"/>
      <c r="C24" s="83"/>
      <c r="D24" s="83"/>
      <c r="E24" s="76"/>
      <c r="F24" s="72">
        <v>66</v>
      </c>
      <c r="G24" s="12">
        <f>kkk(T24,S24,R24,Q24,P24,O24,4)</f>
        <v>31.55</v>
      </c>
      <c r="H24" s="72">
        <v>64</v>
      </c>
      <c r="I24" s="10">
        <f>kkk(T24,S24,R24,Q24,P24,O24,3)</f>
        <v>32</v>
      </c>
      <c r="J24" s="72">
        <v>47</v>
      </c>
      <c r="K24" s="10">
        <f>kkk(T24,S24,R24,Q24,P24,O24,2)</f>
        <v>32.64</v>
      </c>
      <c r="L24" s="72">
        <v>80</v>
      </c>
      <c r="M24" s="10">
        <f>kkk(T24,S24,R24,Q24,P24,O24,1)</f>
        <v>29.94</v>
      </c>
      <c r="N24" s="71">
        <v>18.36</v>
      </c>
      <c r="O24" s="64">
        <v>15.79</v>
      </c>
      <c r="P24" s="64">
        <v>46.67</v>
      </c>
      <c r="Q24" s="64">
        <v>40</v>
      </c>
      <c r="R24" s="64">
        <v>62.96</v>
      </c>
      <c r="S24" s="64">
        <v>0</v>
      </c>
      <c r="T24" s="65">
        <v>0</v>
      </c>
      <c r="U24"/>
      <c r="Z24" s="4"/>
      <c r="AA24" s="4"/>
      <c r="AB24" s="4"/>
      <c r="AC24" s="4"/>
      <c r="AD24" s="4"/>
    </row>
    <row r="25" spans="2:39" ht="30.75" customHeight="1" thickTop="1" thickBot="1" x14ac:dyDescent="0.25">
      <c r="B25" s="82"/>
      <c r="C25" s="83"/>
      <c r="D25" s="83"/>
      <c r="E25" s="77" t="s">
        <v>33</v>
      </c>
      <c r="F25" s="73">
        <v>73</v>
      </c>
      <c r="G25" s="13">
        <f>kkk(T25,S25,R25,Q25,P25,O25,4)</f>
        <v>31.87</v>
      </c>
      <c r="H25" s="73">
        <v>90</v>
      </c>
      <c r="I25" s="11">
        <f>kkk(T25,S25,R25,Q25,P25,O25,3)</f>
        <v>30.32</v>
      </c>
      <c r="J25" s="73">
        <v>47</v>
      </c>
      <c r="K25" s="11">
        <f>kkk(T25,S25,R25,Q25,P25,O25,2)</f>
        <v>33.99</v>
      </c>
      <c r="L25" s="73">
        <v>66</v>
      </c>
      <c r="M25" s="11">
        <f>kkk(T25,S25,R25,Q25,P25,O25,1)</f>
        <v>31.67</v>
      </c>
      <c r="N25" s="71">
        <v>14.96</v>
      </c>
      <c r="O25" s="66">
        <v>40.35</v>
      </c>
      <c r="P25" s="66">
        <v>20</v>
      </c>
      <c r="Q25" s="66">
        <v>43.33</v>
      </c>
      <c r="R25" s="66">
        <v>51.85</v>
      </c>
      <c r="S25" s="66">
        <v>8.33</v>
      </c>
      <c r="T25" s="67">
        <v>3.33</v>
      </c>
      <c r="U25"/>
    </row>
    <row r="26" spans="2:39" ht="30.75" customHeight="1" thickTop="1" thickBot="1" x14ac:dyDescent="0.25">
      <c r="B26" s="82"/>
      <c r="C26" s="83"/>
      <c r="D26" s="83"/>
      <c r="E26" s="76"/>
      <c r="F26" s="72">
        <v>60</v>
      </c>
      <c r="G26" s="12">
        <f>kkk(T26,S26,R26,Q26,P26,O26,4)</f>
        <v>31.26</v>
      </c>
      <c r="H26" s="72">
        <v>45</v>
      </c>
      <c r="I26" s="10">
        <f>kkk(T26,S26,R26,Q26,P26,O26,3)</f>
        <v>33.700000000000003</v>
      </c>
      <c r="J26" s="72">
        <v>49</v>
      </c>
      <c r="K26" s="10">
        <f>kkk(T26,S26,R26,Q26,P26,O26,2)</f>
        <v>31.4</v>
      </c>
      <c r="L26" s="72">
        <v>37</v>
      </c>
      <c r="M26" s="10">
        <f>kkk(T26,S26,R26,Q26,P26,O26,1)</f>
        <v>32.83</v>
      </c>
      <c r="N26" s="71">
        <v>17.68</v>
      </c>
      <c r="O26" s="64">
        <v>40.35</v>
      </c>
      <c r="P26" s="64">
        <v>53.33</v>
      </c>
      <c r="Q26" s="64">
        <v>16.670000000000002</v>
      </c>
      <c r="R26" s="64">
        <v>55.56</v>
      </c>
      <c r="S26" s="64">
        <v>5</v>
      </c>
      <c r="T26" s="65">
        <v>0</v>
      </c>
      <c r="U26"/>
    </row>
    <row r="27" spans="2:39" ht="30.75" customHeight="1" thickTop="1" thickBot="1" x14ac:dyDescent="0.25">
      <c r="B27" s="82"/>
      <c r="C27" s="83"/>
      <c r="D27" s="83"/>
      <c r="E27" s="76"/>
      <c r="F27" s="72">
        <v>74</v>
      </c>
      <c r="G27" s="12">
        <f>kkk(T27,S27,R27,Q27,P27,O27,4)</f>
        <v>28.49</v>
      </c>
      <c r="H27" s="72">
        <v>104</v>
      </c>
      <c r="I27" s="10">
        <f>kkk(T27,S27,R27,Q27,P27,O27,3)</f>
        <v>26.05</v>
      </c>
      <c r="J27" s="72">
        <v>59</v>
      </c>
      <c r="K27" s="10">
        <f>kkk(T27,S27,R27,Q27,P27,O27,2)</f>
        <v>29.42</v>
      </c>
      <c r="L27" s="72">
        <v>97</v>
      </c>
      <c r="M27" s="10">
        <f>kkk(T27,S27,R27,Q27,P27,O27,1)</f>
        <v>26.31</v>
      </c>
      <c r="N27" s="71">
        <v>20</v>
      </c>
      <c r="O27" s="64">
        <v>12.28</v>
      </c>
      <c r="P27" s="64">
        <v>8.33</v>
      </c>
      <c r="Q27" s="64">
        <v>45</v>
      </c>
      <c r="R27" s="64">
        <v>22.22</v>
      </c>
      <c r="S27" s="64">
        <v>40</v>
      </c>
      <c r="T27" s="65">
        <v>61.11</v>
      </c>
      <c r="U27"/>
    </row>
    <row r="28" spans="2:39" ht="30.75" customHeight="1" thickTop="1" thickBot="1" x14ac:dyDescent="0.25">
      <c r="B28" s="82"/>
      <c r="C28" s="83"/>
      <c r="D28" s="83"/>
      <c r="E28" s="76"/>
      <c r="F28" s="72">
        <v>73</v>
      </c>
      <c r="G28" s="12">
        <f>kkk(T28,S28,R28,Q28,P28,O28,4)</f>
        <v>32.51</v>
      </c>
      <c r="H28" s="72">
        <v>56</v>
      </c>
      <c r="I28" s="10">
        <f>kkk(T28,S28,R28,Q28,P28,O28,3)</f>
        <v>34.840000000000003</v>
      </c>
      <c r="J28" s="72">
        <v>62</v>
      </c>
      <c r="K28" s="10">
        <f>kkk(T28,S28,R28,Q28,P28,O28,2)</f>
        <v>32.82</v>
      </c>
      <c r="L28" s="72">
        <v>68</v>
      </c>
      <c r="M28" s="10">
        <f>kkk(T28,S28,R28,Q28,P28,O28,1)</f>
        <v>32.71</v>
      </c>
      <c r="N28" s="71">
        <v>15.62</v>
      </c>
      <c r="O28" s="64">
        <v>26.32</v>
      </c>
      <c r="P28" s="64">
        <v>58.33</v>
      </c>
      <c r="Q28" s="64">
        <v>23.33</v>
      </c>
      <c r="R28" s="64">
        <v>62.96</v>
      </c>
      <c r="S28" s="64">
        <v>0</v>
      </c>
      <c r="T28" s="65">
        <v>14.44</v>
      </c>
      <c r="U28"/>
    </row>
    <row r="29" spans="2:39" ht="30.75" customHeight="1" thickTop="1" thickBot="1" x14ac:dyDescent="0.25">
      <c r="B29" s="82"/>
      <c r="C29" s="83"/>
      <c r="D29" s="83"/>
      <c r="E29" s="76"/>
      <c r="F29" s="72">
        <v>58</v>
      </c>
      <c r="G29" s="12">
        <f>kkk(T29,S29,R29,Q29,P29,O29,4)</f>
        <v>31.86</v>
      </c>
      <c r="H29" s="72">
        <v>69</v>
      </c>
      <c r="I29" s="10">
        <f>kkk(T29,S29,R29,Q29,P29,O29,3)</f>
        <v>30.41</v>
      </c>
      <c r="J29" s="72">
        <v>64</v>
      </c>
      <c r="K29" s="10">
        <f>kkk(T29,S29,R29,Q29,P29,O29,2)</f>
        <v>30.46</v>
      </c>
      <c r="L29" s="72">
        <v>61</v>
      </c>
      <c r="M29" s="10">
        <f>kkk(T29,S29,R29,Q29,P29,O29,1)</f>
        <v>30.63</v>
      </c>
      <c r="N29" s="71">
        <v>15.97</v>
      </c>
      <c r="O29" s="64">
        <v>31.58</v>
      </c>
      <c r="P29" s="64">
        <v>28.33</v>
      </c>
      <c r="Q29" s="64">
        <v>50</v>
      </c>
      <c r="R29" s="64">
        <v>7.41</v>
      </c>
      <c r="S29" s="64">
        <v>41.67</v>
      </c>
      <c r="T29" s="65">
        <v>0</v>
      </c>
      <c r="U29"/>
    </row>
    <row r="30" spans="2:39" ht="30.75" customHeight="1" thickTop="1" thickBot="1" x14ac:dyDescent="0.25">
      <c r="B30" s="82"/>
      <c r="C30" s="83"/>
      <c r="D30" s="83"/>
      <c r="E30" s="76"/>
      <c r="F30" s="72">
        <v>51</v>
      </c>
      <c r="G30" s="12">
        <f>kkk(T30,S30,R30,Q30,P30,O30,4)</f>
        <v>34.22</v>
      </c>
      <c r="H30" s="72">
        <v>26</v>
      </c>
      <c r="I30" s="10">
        <f>kkk(T30,S30,R30,Q30,P30,O30,3)</f>
        <v>38.880000000000003</v>
      </c>
      <c r="J30" s="72">
        <v>65</v>
      </c>
      <c r="K30" s="10">
        <f>kkk(T30,S30,R30,Q30,P30,O30,2)</f>
        <v>31.78</v>
      </c>
      <c r="L30" s="72">
        <v>48</v>
      </c>
      <c r="M30" s="10">
        <f>kkk(T30,S30,R30,Q30,P30,O30,1)</f>
        <v>34.28</v>
      </c>
      <c r="N30" s="71">
        <v>17.309999999999999</v>
      </c>
      <c r="O30" s="64">
        <v>19.3</v>
      </c>
      <c r="P30" s="64">
        <v>88.33</v>
      </c>
      <c r="Q30" s="64">
        <v>18.329999999999998</v>
      </c>
      <c r="R30" s="64">
        <v>51.85</v>
      </c>
      <c r="S30" s="64">
        <v>6.67</v>
      </c>
      <c r="T30" s="65">
        <v>0</v>
      </c>
      <c r="U30"/>
    </row>
    <row r="31" spans="2:39" ht="30.75" customHeight="1" thickTop="1" thickBot="1" x14ac:dyDescent="0.25">
      <c r="B31" s="82"/>
      <c r="C31" s="83"/>
      <c r="D31" s="83"/>
      <c r="E31" s="76"/>
      <c r="F31" s="72">
        <v>74</v>
      </c>
      <c r="G31" s="12">
        <f>kkk(T31,S31,R31,Q31,P31,O31,4)</f>
        <v>28.6</v>
      </c>
      <c r="H31" s="72">
        <v>74</v>
      </c>
      <c r="I31" s="10">
        <f>kkk(T31,S31,R31,Q31,P31,O31,3)</f>
        <v>28.49</v>
      </c>
      <c r="J31" s="72">
        <v>70</v>
      </c>
      <c r="K31" s="10">
        <f>kkk(T31,S31,R31,Q31,P31,O31,2)</f>
        <v>28.6</v>
      </c>
      <c r="L31" s="72">
        <v>76</v>
      </c>
      <c r="M31" s="10">
        <f>kkk(T31,S31,R31,Q31,P31,O31,1)</f>
        <v>28.02</v>
      </c>
      <c r="N31" s="71">
        <v>19.190000000000001</v>
      </c>
      <c r="O31" s="64">
        <v>26.32</v>
      </c>
      <c r="P31" s="64">
        <v>33.33</v>
      </c>
      <c r="Q31" s="64">
        <v>35</v>
      </c>
      <c r="R31" s="64">
        <v>33.33</v>
      </c>
      <c r="S31" s="64">
        <v>21.67</v>
      </c>
      <c r="T31" s="65">
        <v>0</v>
      </c>
      <c r="U31"/>
    </row>
    <row r="32" spans="2:39" ht="30.75" customHeight="1" thickTop="1" thickBot="1" x14ac:dyDescent="0.25">
      <c r="B32" s="82"/>
      <c r="C32" s="83"/>
      <c r="D32" s="83"/>
      <c r="E32" s="76"/>
      <c r="F32" s="72">
        <v>83</v>
      </c>
      <c r="G32" s="12">
        <f>kkk(T32,S32,R32,Q32,P32,O32,4)</f>
        <v>27.35</v>
      </c>
      <c r="H32" s="72">
        <v>70</v>
      </c>
      <c r="I32" s="10">
        <f>kkk(T32,S32,R32,Q32,P32,O32,3)</f>
        <v>28.91</v>
      </c>
      <c r="J32" s="72">
        <v>77</v>
      </c>
      <c r="K32" s="10">
        <f>kkk(T32,S32,R32,Q32,P32,O32,2)</f>
        <v>27.22</v>
      </c>
      <c r="L32" s="72">
        <v>55</v>
      </c>
      <c r="M32" s="10">
        <f>kkk(T32,S32,R32,Q32,P32,O32,1)</f>
        <v>29.72</v>
      </c>
      <c r="N32" s="71">
        <v>19.36</v>
      </c>
      <c r="O32" s="64">
        <v>43.86</v>
      </c>
      <c r="P32" s="64">
        <v>31.67</v>
      </c>
      <c r="Q32" s="64">
        <v>8.33</v>
      </c>
      <c r="R32" s="64">
        <v>29.63</v>
      </c>
      <c r="S32" s="64">
        <v>8.33</v>
      </c>
      <c r="T32" s="65">
        <v>74.44</v>
      </c>
      <c r="U32"/>
    </row>
    <row r="33" spans="2:21" ht="30.75" customHeight="1" thickTop="1" thickBot="1" x14ac:dyDescent="0.25">
      <c r="B33" s="82"/>
      <c r="C33" s="83"/>
      <c r="D33" s="83"/>
      <c r="E33" s="76"/>
      <c r="F33" s="72">
        <v>78</v>
      </c>
      <c r="G33" s="12">
        <f>kkk(T33,S33,R33,Q33,P33,O33,4)</f>
        <v>32.11</v>
      </c>
      <c r="H33" s="72">
        <v>98</v>
      </c>
      <c r="I33" s="10">
        <f>kkk(T33,S33,R33,Q33,P33,O33,3)</f>
        <v>30.89</v>
      </c>
      <c r="J33" s="72">
        <v>78</v>
      </c>
      <c r="K33" s="10">
        <f>kkk(T33,S33,R33,Q33,P33,O33,2)</f>
        <v>31.42</v>
      </c>
      <c r="L33" s="72">
        <v>121</v>
      </c>
      <c r="M33" s="10">
        <f>kkk(T33,S33,R33,Q33,P33,O33,1)</f>
        <v>29.04</v>
      </c>
      <c r="N33" s="71">
        <v>16.13</v>
      </c>
      <c r="O33" s="64">
        <v>12.28</v>
      </c>
      <c r="P33" s="64">
        <v>40</v>
      </c>
      <c r="Q33" s="64">
        <v>58.33</v>
      </c>
      <c r="R33" s="64">
        <v>29.63</v>
      </c>
      <c r="S33" s="64">
        <v>3.33</v>
      </c>
      <c r="T33" s="65">
        <v>25.56</v>
      </c>
      <c r="U33"/>
    </row>
    <row r="34" spans="2:21" ht="30.75" customHeight="1" thickTop="1" thickBot="1" x14ac:dyDescent="0.25">
      <c r="B34" s="82"/>
      <c r="C34" s="83"/>
      <c r="D34" s="83"/>
      <c r="E34" s="76"/>
      <c r="F34" s="72">
        <v>81</v>
      </c>
      <c r="G34" s="12">
        <f>kkk(T34,S34,R34,Q34,P34,O34,4)</f>
        <v>29.87</v>
      </c>
      <c r="H34" s="72">
        <v>76</v>
      </c>
      <c r="I34" s="10">
        <f>kkk(T34,S34,R34,Q34,P34,O34,3)</f>
        <v>30.42</v>
      </c>
      <c r="J34" s="72">
        <v>79</v>
      </c>
      <c r="K34" s="10">
        <f>kkk(T34,S34,R34,Q34,P34,O34,2)</f>
        <v>29.31</v>
      </c>
      <c r="L34" s="72">
        <v>72</v>
      </c>
      <c r="M34" s="10">
        <f>kkk(T34,S34,R34,Q34,P34,O34,1)</f>
        <v>30.45</v>
      </c>
      <c r="N34" s="71">
        <v>15.94</v>
      </c>
      <c r="O34" s="64">
        <v>42.11</v>
      </c>
      <c r="P34" s="64">
        <v>41.67</v>
      </c>
      <c r="Q34" s="64">
        <v>33.33</v>
      </c>
      <c r="R34" s="64">
        <v>33.33</v>
      </c>
      <c r="S34" s="64">
        <v>-1.66</v>
      </c>
      <c r="T34" s="65">
        <v>0</v>
      </c>
      <c r="U34"/>
    </row>
    <row r="35" spans="2:21" ht="30.75" customHeight="1" thickTop="1" thickBot="1" x14ac:dyDescent="0.25">
      <c r="B35" s="82"/>
      <c r="C35" s="83"/>
      <c r="D35" s="83"/>
      <c r="E35" s="76"/>
      <c r="F35" s="72">
        <v>76</v>
      </c>
      <c r="G35" s="12">
        <f>kkk(T35,S35,R35,Q35,P35,O35,4)</f>
        <v>30.63</v>
      </c>
      <c r="H35" s="72">
        <v>82</v>
      </c>
      <c r="I35" s="10">
        <f>kkk(T35,S35,R35,Q35,P35,O35,3)</f>
        <v>30.41</v>
      </c>
      <c r="J35" s="72">
        <v>80</v>
      </c>
      <c r="K35" s="10">
        <f>kkk(T35,S35,R35,Q35,P35,O35,2)</f>
        <v>29.67</v>
      </c>
      <c r="L35" s="72">
        <v>81</v>
      </c>
      <c r="M35" s="10">
        <f>kkk(T35,S35,R35,Q35,P35,O35,1)</f>
        <v>29.95</v>
      </c>
      <c r="N35" s="71">
        <v>16.57</v>
      </c>
      <c r="O35" s="64">
        <v>29.82</v>
      </c>
      <c r="P35" s="64">
        <v>36.67</v>
      </c>
      <c r="Q35" s="64">
        <v>40</v>
      </c>
      <c r="R35" s="64">
        <v>22.22</v>
      </c>
      <c r="S35" s="64">
        <v>10</v>
      </c>
      <c r="T35" s="65">
        <v>35.56</v>
      </c>
      <c r="U35"/>
    </row>
    <row r="36" spans="2:21" ht="30.75" customHeight="1" thickTop="1" thickBot="1" x14ac:dyDescent="0.25">
      <c r="B36" s="82"/>
      <c r="C36" s="83"/>
      <c r="D36" s="83"/>
      <c r="E36" s="76"/>
      <c r="F36" s="72">
        <v>88</v>
      </c>
      <c r="G36" s="12">
        <f>kkk(T36,S36,R36,Q36,P36,O36,4)</f>
        <v>30.53</v>
      </c>
      <c r="H36" s="72">
        <v>71</v>
      </c>
      <c r="I36" s="10">
        <f>kkk(T36,S36,R36,Q36,P36,O36,3)</f>
        <v>32.75</v>
      </c>
      <c r="J36" s="72">
        <v>86</v>
      </c>
      <c r="K36" s="10">
        <f>kkk(T36,S36,R36,Q36,P36,O36,2)</f>
        <v>29.82</v>
      </c>
      <c r="L36" s="72">
        <v>95</v>
      </c>
      <c r="M36" s="10">
        <f>kkk(T36,S36,R36,Q36,P36,O36,1)</f>
        <v>30.14</v>
      </c>
      <c r="N36" s="71">
        <v>14.81</v>
      </c>
      <c r="O36" s="64">
        <v>15.79</v>
      </c>
      <c r="P36" s="64">
        <v>55</v>
      </c>
      <c r="Q36" s="64">
        <v>21.67</v>
      </c>
      <c r="R36" s="64">
        <v>44.44</v>
      </c>
      <c r="S36" s="64">
        <v>35</v>
      </c>
      <c r="T36" s="65">
        <v>0</v>
      </c>
      <c r="U36"/>
    </row>
    <row r="37" spans="2:21" ht="30.75" customHeight="1" thickTop="1" thickBot="1" x14ac:dyDescent="0.25">
      <c r="B37" s="82"/>
      <c r="C37" s="83"/>
      <c r="D37" s="83"/>
      <c r="E37" s="76"/>
      <c r="F37" s="72">
        <v>96</v>
      </c>
      <c r="G37" s="12">
        <f>kkk(T37,S37,R37,Q37,P37,O37,4)</f>
        <v>26.3</v>
      </c>
      <c r="H37" s="72">
        <v>90</v>
      </c>
      <c r="I37" s="10">
        <f>kkk(T37,S37,R37,Q37,P37,O37,3)</f>
        <v>27.08</v>
      </c>
      <c r="J37" s="72">
        <v>97</v>
      </c>
      <c r="K37" s="10">
        <f>kkk(T37,S37,R37,Q37,P37,O37,2)</f>
        <v>25.61</v>
      </c>
      <c r="L37" s="72">
        <v>88</v>
      </c>
      <c r="M37" s="10">
        <f>kkk(T37,S37,R37,Q37,P37,O37,1)</f>
        <v>26.75</v>
      </c>
      <c r="N37" s="71">
        <v>19.32</v>
      </c>
      <c r="O37" s="64">
        <v>35.090000000000003</v>
      </c>
      <c r="P37" s="64">
        <v>40</v>
      </c>
      <c r="Q37" s="64">
        <v>28.33</v>
      </c>
      <c r="R37" s="64">
        <v>29.63</v>
      </c>
      <c r="S37" s="64">
        <v>-1.66</v>
      </c>
      <c r="T37" s="65">
        <v>0</v>
      </c>
      <c r="U37"/>
    </row>
    <row r="38" spans="2:21" ht="30.75" customHeight="1" thickTop="1" thickBot="1" x14ac:dyDescent="0.25">
      <c r="B38" s="82"/>
      <c r="C38" s="83"/>
      <c r="D38" s="83"/>
      <c r="E38" s="77" t="s">
        <v>34</v>
      </c>
      <c r="F38" s="73">
        <v>85</v>
      </c>
      <c r="G38" s="13">
        <f>kkk(T38,S38,R38,Q38,P38,O38,4)</f>
        <v>32.26</v>
      </c>
      <c r="H38" s="73">
        <v>59</v>
      </c>
      <c r="I38" s="11">
        <f>kkk(T38,S38,R38,Q38,P38,O38,3)</f>
        <v>35.590000000000003</v>
      </c>
      <c r="J38" s="73">
        <v>100</v>
      </c>
      <c r="K38" s="11">
        <f>kkk(T38,S38,R38,Q38,P38,O38,2)</f>
        <v>29.9</v>
      </c>
      <c r="L38" s="73">
        <v>85</v>
      </c>
      <c r="M38" s="11">
        <f>kkk(T38,S38,R38,Q38,P38,O38,1)</f>
        <v>32.31</v>
      </c>
      <c r="N38" s="71">
        <v>16.34</v>
      </c>
      <c r="O38" s="66">
        <v>15.79</v>
      </c>
      <c r="P38" s="66">
        <v>65</v>
      </c>
      <c r="Q38" s="66">
        <v>15</v>
      </c>
      <c r="R38" s="66">
        <v>29.63</v>
      </c>
      <c r="S38" s="66">
        <v>23.33</v>
      </c>
      <c r="T38" s="67">
        <v>75.56</v>
      </c>
      <c r="U38"/>
    </row>
    <row r="39" spans="2:21" ht="30.75" customHeight="1" thickTop="1" thickBot="1" x14ac:dyDescent="0.25">
      <c r="B39" s="82"/>
      <c r="C39" s="83"/>
      <c r="D39" s="83"/>
      <c r="E39" s="76"/>
      <c r="F39" s="72">
        <v>85</v>
      </c>
      <c r="G39" s="12">
        <f>kkk(T39,S39,R39,Q39,P39,O39,4)</f>
        <v>26.23</v>
      </c>
      <c r="H39" s="72">
        <v>84</v>
      </c>
      <c r="I39" s="10">
        <f>kkk(T39,S39,R39,Q39,P39,O39,3)</f>
        <v>26.89</v>
      </c>
      <c r="J39" s="72">
        <v>101</v>
      </c>
      <c r="K39" s="10">
        <f>kkk(T39,S39,R39,Q39,P39,O39,2)</f>
        <v>24.61</v>
      </c>
      <c r="L39" s="72">
        <v>74</v>
      </c>
      <c r="M39" s="10">
        <f>kkk(T39,S39,R39,Q39,P39,O39,1)</f>
        <v>27.36</v>
      </c>
      <c r="N39" s="71">
        <v>20</v>
      </c>
      <c r="O39" s="64">
        <v>38.6</v>
      </c>
      <c r="P39" s="64">
        <v>31.67</v>
      </c>
      <c r="Q39" s="64">
        <v>21.67</v>
      </c>
      <c r="R39" s="64">
        <v>7.41</v>
      </c>
      <c r="S39" s="64">
        <v>18.329999999999998</v>
      </c>
      <c r="T39" s="65">
        <v>44.44</v>
      </c>
      <c r="U39"/>
    </row>
    <row r="40" spans="2:21" ht="30.75" customHeight="1" thickTop="1" thickBot="1" x14ac:dyDescent="0.25">
      <c r="B40" s="82"/>
      <c r="C40" s="83"/>
      <c r="D40" s="83"/>
      <c r="E40" s="76"/>
      <c r="F40" s="72">
        <v>98</v>
      </c>
      <c r="G40" s="12">
        <f>kkk(T40,S40,R40,Q40,P40,O40,4)</f>
        <v>27.69</v>
      </c>
      <c r="H40" s="72">
        <v>77</v>
      </c>
      <c r="I40" s="10">
        <f>kkk(T40,S40,R40,Q40,P40,O40,3)</f>
        <v>29.8</v>
      </c>
      <c r="J40" s="72">
        <v>102</v>
      </c>
      <c r="K40" s="10">
        <f>kkk(T40,S40,R40,Q40,P40,O40,2)</f>
        <v>26.69</v>
      </c>
      <c r="L40" s="72">
        <v>92</v>
      </c>
      <c r="M40" s="10">
        <f>kkk(T40,S40,R40,Q40,P40,O40,1)</f>
        <v>28.22</v>
      </c>
      <c r="N40" s="71">
        <v>18.77</v>
      </c>
      <c r="O40" s="64">
        <v>24.56</v>
      </c>
      <c r="P40" s="64">
        <v>48.33</v>
      </c>
      <c r="Q40" s="64">
        <v>16.670000000000002</v>
      </c>
      <c r="R40" s="64">
        <v>33.33</v>
      </c>
      <c r="S40" s="64">
        <v>8.33</v>
      </c>
      <c r="T40" s="65">
        <v>46.67</v>
      </c>
      <c r="U40"/>
    </row>
    <row r="41" spans="2:21" ht="30.75" customHeight="1" thickTop="1" thickBot="1" x14ac:dyDescent="0.25">
      <c r="B41" s="82"/>
      <c r="C41" s="83"/>
      <c r="D41" s="83"/>
      <c r="E41" s="76"/>
      <c r="F41" s="72">
        <v>97</v>
      </c>
      <c r="G41" s="12">
        <f>kkk(T41,S41,R41,Q41,P41,O41,4)</f>
        <v>29.27</v>
      </c>
      <c r="H41" s="72">
        <v>97</v>
      </c>
      <c r="I41" s="10">
        <f>kkk(T41,S41,R41,Q41,P41,O41,3)</f>
        <v>29.83</v>
      </c>
      <c r="J41" s="72">
        <v>105</v>
      </c>
      <c r="K41" s="10">
        <f>kkk(T41,S41,R41,Q41,P41,O41,2)</f>
        <v>27.91</v>
      </c>
      <c r="L41" s="72">
        <v>116</v>
      </c>
      <c r="M41" s="10">
        <f>kkk(T41,S41,R41,Q41,P41,O41,1)</f>
        <v>27.9</v>
      </c>
      <c r="N41" s="71">
        <v>16.91</v>
      </c>
      <c r="O41" s="64">
        <v>21.05</v>
      </c>
      <c r="P41" s="64">
        <v>50</v>
      </c>
      <c r="Q41" s="64">
        <v>41.67</v>
      </c>
      <c r="R41" s="64">
        <v>29.63</v>
      </c>
      <c r="S41" s="64">
        <v>0</v>
      </c>
      <c r="T41" s="65">
        <v>0</v>
      </c>
      <c r="U41"/>
    </row>
    <row r="42" spans="2:21" ht="30.75" customHeight="1" thickTop="1" thickBot="1" x14ac:dyDescent="0.25">
      <c r="B42" s="82"/>
      <c r="C42" s="83"/>
      <c r="D42" s="83"/>
      <c r="E42" s="76"/>
      <c r="F42" s="72">
        <v>142</v>
      </c>
      <c r="G42" s="12">
        <f>kkk(T42,S42,R42,Q42,P42,O42,4)</f>
        <v>24.3</v>
      </c>
      <c r="H42" s="72">
        <v>142</v>
      </c>
      <c r="I42" s="10">
        <f>kkk(T42,S42,R42,Q42,P42,O42,3)</f>
        <v>25.19</v>
      </c>
      <c r="J42" s="72">
        <v>109</v>
      </c>
      <c r="K42" s="10">
        <f>kkk(T42,S42,R42,Q42,P42,O42,2)</f>
        <v>25.38</v>
      </c>
      <c r="L42" s="72">
        <v>128</v>
      </c>
      <c r="M42" s="10">
        <f>kkk(T42,S42,R42,Q42,P42,O42,1)</f>
        <v>24.82</v>
      </c>
      <c r="N42" s="71">
        <v>18.850000000000001</v>
      </c>
      <c r="O42" s="64">
        <v>22.81</v>
      </c>
      <c r="P42" s="64">
        <v>28.33</v>
      </c>
      <c r="Q42" s="64">
        <v>15</v>
      </c>
      <c r="R42" s="64">
        <v>44.44</v>
      </c>
      <c r="S42" s="64">
        <v>15</v>
      </c>
      <c r="T42" s="65">
        <v>32.22</v>
      </c>
      <c r="U42"/>
    </row>
    <row r="43" spans="2:21" ht="30.75" customHeight="1" thickTop="1" thickBot="1" x14ac:dyDescent="0.25">
      <c r="B43" s="82"/>
      <c r="C43" s="83"/>
      <c r="D43" s="83"/>
      <c r="E43" s="76"/>
      <c r="F43" s="72">
        <v>111</v>
      </c>
      <c r="G43" s="12">
        <f>kkk(T43,S43,R43,Q43,P43,O43,4)</f>
        <v>28.13</v>
      </c>
      <c r="H43" s="72">
        <v>118</v>
      </c>
      <c r="I43" s="10">
        <f>kkk(T43,S43,R43,Q43,P43,O43,3)</f>
        <v>28.69</v>
      </c>
      <c r="J43" s="72">
        <v>111</v>
      </c>
      <c r="K43" s="10">
        <f>kkk(T43,S43,R43,Q43,P43,O43,2)</f>
        <v>27.36</v>
      </c>
      <c r="L43" s="72">
        <v>125</v>
      </c>
      <c r="M43" s="10">
        <f>kkk(T43,S43,R43,Q43,P43,O43,1)</f>
        <v>27.33</v>
      </c>
      <c r="N43" s="71">
        <v>16.34</v>
      </c>
      <c r="O43" s="64">
        <v>24.56</v>
      </c>
      <c r="P43" s="64">
        <v>45</v>
      </c>
      <c r="Q43" s="64">
        <v>36.67</v>
      </c>
      <c r="R43" s="64">
        <v>33.33</v>
      </c>
      <c r="S43" s="64">
        <v>0</v>
      </c>
      <c r="T43" s="65">
        <v>0</v>
      </c>
      <c r="U43"/>
    </row>
    <row r="44" spans="2:21" ht="30.75" customHeight="1" thickTop="1" thickBot="1" x14ac:dyDescent="0.25">
      <c r="B44" s="82"/>
      <c r="C44" s="83"/>
      <c r="D44" s="83"/>
      <c r="E44" s="76"/>
      <c r="F44" s="72">
        <v>86</v>
      </c>
      <c r="G44" s="12">
        <f>kkk(T44,S44,R44,Q44,P44,O44,4)</f>
        <v>26.51</v>
      </c>
      <c r="H44" s="72">
        <v>67</v>
      </c>
      <c r="I44" s="10">
        <f>kkk(T44,S44,R44,Q44,P44,O44,3)</f>
        <v>29.29</v>
      </c>
      <c r="J44" s="72">
        <v>116</v>
      </c>
      <c r="K44" s="10">
        <f>kkk(T44,S44,R44,Q44,P44,O44,2)</f>
        <v>23.61</v>
      </c>
      <c r="L44" s="72">
        <v>69</v>
      </c>
      <c r="M44" s="10">
        <f>kkk(T44,S44,R44,Q44,P44,O44,1)</f>
        <v>28.2</v>
      </c>
      <c r="N44" s="71">
        <v>20</v>
      </c>
      <c r="O44" s="64">
        <v>42.11</v>
      </c>
      <c r="P44" s="64">
        <v>58.33</v>
      </c>
      <c r="Q44" s="64">
        <v>16.670000000000002</v>
      </c>
      <c r="R44" s="64">
        <v>14.81</v>
      </c>
      <c r="S44" s="64">
        <v>0</v>
      </c>
      <c r="T44" s="65">
        <v>0</v>
      </c>
      <c r="U44"/>
    </row>
    <row r="45" spans="2:21" ht="30.75" customHeight="1" thickTop="1" thickBot="1" x14ac:dyDescent="0.25">
      <c r="B45" s="82"/>
      <c r="C45" s="83"/>
      <c r="D45" s="83"/>
      <c r="E45" s="77" t="s">
        <v>35</v>
      </c>
      <c r="F45" s="73">
        <v>111</v>
      </c>
      <c r="G45" s="13">
        <f>kkk(T45,S45,R45,Q45,P45,O45,4)</f>
        <v>27.87</v>
      </c>
      <c r="H45" s="73">
        <v>85</v>
      </c>
      <c r="I45" s="11">
        <f>kkk(T45,S45,R45,Q45,P45,O45,3)</f>
        <v>30.31</v>
      </c>
      <c r="J45" s="73">
        <v>123</v>
      </c>
      <c r="K45" s="11">
        <f>kkk(T45,S45,R45,Q45,P45,O45,2)</f>
        <v>26.13</v>
      </c>
      <c r="L45" s="73">
        <v>88</v>
      </c>
      <c r="M45" s="11">
        <f>kkk(T45,S45,R45,Q45,P45,O45,1)</f>
        <v>29.43</v>
      </c>
      <c r="N45" s="71">
        <v>16.62</v>
      </c>
      <c r="O45" s="66">
        <v>35.090000000000003</v>
      </c>
      <c r="P45" s="66">
        <v>48.33</v>
      </c>
      <c r="Q45" s="66">
        <v>11.67</v>
      </c>
      <c r="R45" s="66">
        <v>22.22</v>
      </c>
      <c r="S45" s="66">
        <v>25</v>
      </c>
      <c r="T45" s="67">
        <v>26.67</v>
      </c>
      <c r="U45"/>
    </row>
    <row r="46" spans="2:21" ht="30.75" customHeight="1" thickTop="1" thickBot="1" x14ac:dyDescent="0.25">
      <c r="B46" s="82"/>
      <c r="C46" s="83"/>
      <c r="D46" s="83"/>
      <c r="E46" s="76"/>
      <c r="F46" s="72">
        <v>136</v>
      </c>
      <c r="G46" s="12">
        <f>kkk(T46,S46,R46,Q46,P46,O46,4)</f>
        <v>28.38</v>
      </c>
      <c r="H46" s="72">
        <v>122</v>
      </c>
      <c r="I46" s="10">
        <f>kkk(T46,S46,R46,Q46,P46,O46,3)</f>
        <v>29.71</v>
      </c>
      <c r="J46" s="72">
        <v>126</v>
      </c>
      <c r="K46" s="10">
        <f>kkk(T46,S46,R46,Q46,P46,O46,2)</f>
        <v>27.79</v>
      </c>
      <c r="L46" s="72">
        <v>159</v>
      </c>
      <c r="M46" s="10">
        <f>kkk(T46,S46,R46,Q46,P46,O46,1)</f>
        <v>26.98</v>
      </c>
      <c r="N46" s="71">
        <v>15.88</v>
      </c>
      <c r="O46" s="64">
        <v>12.28</v>
      </c>
      <c r="P46" s="64">
        <v>53.33</v>
      </c>
      <c r="Q46" s="64">
        <v>33.33</v>
      </c>
      <c r="R46" s="64">
        <v>44.44</v>
      </c>
      <c r="S46" s="64">
        <v>1.67</v>
      </c>
      <c r="T46" s="65">
        <v>3.33</v>
      </c>
      <c r="U46"/>
    </row>
    <row r="47" spans="2:21" ht="30.75" customHeight="1" thickTop="1" thickBot="1" x14ac:dyDescent="0.25">
      <c r="B47" s="82"/>
      <c r="C47" s="83"/>
      <c r="D47" s="83"/>
      <c r="E47" s="76"/>
      <c r="F47" s="72">
        <v>138</v>
      </c>
      <c r="G47" s="12">
        <f>kkk(T47,S47,R47,Q47,P47,O47,4)</f>
        <v>25.75</v>
      </c>
      <c r="H47" s="72">
        <v>136</v>
      </c>
      <c r="I47" s="10">
        <f>kkk(T47,S47,R47,Q47,P47,O47,3)</f>
        <v>26.42</v>
      </c>
      <c r="J47" s="72">
        <v>129</v>
      </c>
      <c r="K47" s="10">
        <f>kkk(T47,S47,R47,Q47,P47,O47,2)</f>
        <v>25.19</v>
      </c>
      <c r="L47" s="72">
        <v>145</v>
      </c>
      <c r="M47" s="10">
        <f>kkk(T47,S47,R47,Q47,P47,O47,1)</f>
        <v>24.93</v>
      </c>
      <c r="N47" s="71">
        <v>18.309999999999999</v>
      </c>
      <c r="O47" s="64">
        <v>19.3</v>
      </c>
      <c r="P47" s="64">
        <v>41.67</v>
      </c>
      <c r="Q47" s="64">
        <v>31.67</v>
      </c>
      <c r="R47" s="64">
        <v>33.33</v>
      </c>
      <c r="S47" s="64">
        <v>5</v>
      </c>
      <c r="T47" s="65">
        <v>0</v>
      </c>
      <c r="U47"/>
    </row>
    <row r="48" spans="2:21" ht="30.75" customHeight="1" thickTop="1" thickBot="1" x14ac:dyDescent="0.25">
      <c r="B48" s="82"/>
      <c r="C48" s="83"/>
      <c r="D48" s="83"/>
      <c r="E48" s="76"/>
      <c r="F48" s="72">
        <v>140</v>
      </c>
      <c r="G48" s="12">
        <f>kkk(T48,S48,R48,Q48,P48,O48,4)</f>
        <v>25.34</v>
      </c>
      <c r="H48" s="72">
        <v>143</v>
      </c>
      <c r="I48" s="10">
        <f>kkk(T48,S48,R48,Q48,P48,O48,3)</f>
        <v>26.12</v>
      </c>
      <c r="J48" s="72">
        <v>133</v>
      </c>
      <c r="K48" s="10">
        <f>kkk(T48,S48,R48,Q48,P48,O48,2)</f>
        <v>24.9</v>
      </c>
      <c r="L48" s="72">
        <v>147</v>
      </c>
      <c r="M48" s="10">
        <f>kkk(T48,S48,R48,Q48,P48,O48,1)</f>
        <v>24.74</v>
      </c>
      <c r="N48" s="71">
        <v>18.170000000000002</v>
      </c>
      <c r="O48" s="64">
        <v>19.3</v>
      </c>
      <c r="P48" s="64">
        <v>40</v>
      </c>
      <c r="Q48" s="64">
        <v>28.33</v>
      </c>
      <c r="R48" s="64">
        <v>33.33</v>
      </c>
      <c r="S48" s="64">
        <v>10</v>
      </c>
      <c r="T48" s="65">
        <v>2.2200000000000002</v>
      </c>
      <c r="U48"/>
    </row>
    <row r="49" spans="2:21" ht="30.75" customHeight="1" thickTop="1" thickBot="1" x14ac:dyDescent="0.25">
      <c r="B49" s="82"/>
      <c r="C49" s="83"/>
      <c r="D49" s="83"/>
      <c r="E49" s="76"/>
      <c r="F49" s="72">
        <v>121</v>
      </c>
      <c r="G49" s="12">
        <f>kkk(T49,S49,R49,Q49,P49,O49,4)</f>
        <v>29.04</v>
      </c>
      <c r="H49" s="72">
        <v>147</v>
      </c>
      <c r="I49" s="10">
        <f>kkk(T49,S49,R49,Q49,P49,O49,3)</f>
        <v>28.71</v>
      </c>
      <c r="J49" s="72">
        <v>134</v>
      </c>
      <c r="K49" s="10">
        <f>kkk(T49,S49,R49,Q49,P49,O49,2)</f>
        <v>27.61</v>
      </c>
      <c r="L49" s="72">
        <v>187</v>
      </c>
      <c r="M49" s="10">
        <f>kkk(T49,S49,R49,Q49,P49,O49,1)</f>
        <v>26.16</v>
      </c>
      <c r="N49" s="71"/>
      <c r="O49" s="64">
        <v>1.75</v>
      </c>
      <c r="P49" s="64">
        <v>40</v>
      </c>
      <c r="Q49" s="64">
        <v>45</v>
      </c>
      <c r="R49" s="64">
        <v>18.52</v>
      </c>
      <c r="S49" s="64">
        <v>33.33</v>
      </c>
      <c r="T49" s="65">
        <v>26.67</v>
      </c>
      <c r="U49"/>
    </row>
    <row r="50" spans="2:21" ht="30.75" customHeight="1" thickTop="1" thickBot="1" x14ac:dyDescent="0.25">
      <c r="B50" s="82"/>
      <c r="C50" s="83"/>
      <c r="D50" s="83"/>
      <c r="E50" s="76"/>
      <c r="F50" s="72">
        <v>137</v>
      </c>
      <c r="G50" s="12">
        <f>kkk(T50,S50,R50,Q50,P50,O50,4)</f>
        <v>27.07</v>
      </c>
      <c r="H50" s="72">
        <v>133</v>
      </c>
      <c r="I50" s="10">
        <f>kkk(T50,S50,R50,Q50,P50,O50,3)</f>
        <v>27.85</v>
      </c>
      <c r="J50" s="72">
        <v>138</v>
      </c>
      <c r="K50" s="10">
        <f>kkk(T50,S50,R50,Q50,P50,O50,2)</f>
        <v>26.04</v>
      </c>
      <c r="L50" s="72">
        <v>141</v>
      </c>
      <c r="M50" s="10">
        <f>kkk(T50,S50,R50,Q50,P50,O50,1)</f>
        <v>26.37</v>
      </c>
      <c r="N50" s="71">
        <v>16.41</v>
      </c>
      <c r="O50" s="64">
        <v>22.81</v>
      </c>
      <c r="P50" s="64">
        <v>45</v>
      </c>
      <c r="Q50" s="64">
        <v>33.33</v>
      </c>
      <c r="R50" s="64">
        <v>29.63</v>
      </c>
      <c r="S50" s="64">
        <v>5</v>
      </c>
      <c r="T50" s="65">
        <v>0</v>
      </c>
      <c r="U50"/>
    </row>
    <row r="51" spans="2:21" ht="30.75" customHeight="1" thickTop="1" thickBot="1" x14ac:dyDescent="0.25">
      <c r="B51" s="82"/>
      <c r="C51" s="83"/>
      <c r="D51" s="83"/>
      <c r="E51" s="76"/>
      <c r="F51" s="72">
        <v>124</v>
      </c>
      <c r="G51" s="12">
        <f>kkk(T51,S51,R51,Q51,P51,O51,4)</f>
        <v>28.06</v>
      </c>
      <c r="H51" s="72">
        <v>106</v>
      </c>
      <c r="I51" s="10">
        <f>kkk(T51,S51,R51,Q51,P51,O51,3)</f>
        <v>29.95</v>
      </c>
      <c r="J51" s="72">
        <v>142</v>
      </c>
      <c r="K51" s="10">
        <f>kkk(T51,S51,R51,Q51,P51,O51,2)</f>
        <v>26.43</v>
      </c>
      <c r="L51" s="72">
        <v>108</v>
      </c>
      <c r="M51" s="10">
        <f>kkk(T51,S51,R51,Q51,P51,O51,1)</f>
        <v>28.71</v>
      </c>
      <c r="N51" s="71">
        <v>15.88</v>
      </c>
      <c r="O51" s="64">
        <v>28.07</v>
      </c>
      <c r="P51" s="64">
        <v>46.67</v>
      </c>
      <c r="Q51" s="64">
        <v>18.329999999999998</v>
      </c>
      <c r="R51" s="64">
        <v>22.22</v>
      </c>
      <c r="S51" s="64">
        <v>10</v>
      </c>
      <c r="T51" s="65">
        <v>58.89</v>
      </c>
      <c r="U51"/>
    </row>
    <row r="52" spans="2:21" ht="30.75" customHeight="1" thickTop="1" thickBot="1" x14ac:dyDescent="0.25">
      <c r="B52" s="82"/>
      <c r="C52" s="83"/>
      <c r="D52" s="83"/>
      <c r="E52" s="76"/>
      <c r="F52" s="72">
        <v>106</v>
      </c>
      <c r="G52" s="12">
        <f>kkk(T52,S52,R52,Q52,P52,O52,4)</f>
        <v>27.12</v>
      </c>
      <c r="H52" s="72">
        <v>113</v>
      </c>
      <c r="I52" s="10">
        <f>kkk(T52,S52,R52,Q52,P52,O52,3)</f>
        <v>27.79</v>
      </c>
      <c r="J52" s="72">
        <v>146</v>
      </c>
      <c r="K52" s="10">
        <f>kkk(T52,S52,R52,Q52,P52,O52,2)</f>
        <v>24.5</v>
      </c>
      <c r="L52" s="72">
        <v>105</v>
      </c>
      <c r="M52" s="10">
        <f>kkk(T52,S52,R52,Q52,P52,O52,1)</f>
        <v>27.01</v>
      </c>
      <c r="N52" s="71">
        <v>17.5</v>
      </c>
      <c r="O52" s="64">
        <v>35.090000000000003</v>
      </c>
      <c r="P52" s="64">
        <v>46.67</v>
      </c>
      <c r="Q52" s="64">
        <v>36.67</v>
      </c>
      <c r="R52" s="64">
        <v>7.41</v>
      </c>
      <c r="S52" s="64">
        <v>0</v>
      </c>
      <c r="T52" s="65">
        <v>0</v>
      </c>
      <c r="U52"/>
    </row>
    <row r="53" spans="2:21" ht="30.75" customHeight="1" thickTop="1" thickBot="1" x14ac:dyDescent="0.25">
      <c r="B53" s="82"/>
      <c r="C53" s="83"/>
      <c r="D53" s="83"/>
      <c r="E53" s="76"/>
      <c r="F53" s="72">
        <v>130</v>
      </c>
      <c r="G53" s="12">
        <f>kkk(T53,S53,R53,Q53,P53,O53,4)</f>
        <v>26.81</v>
      </c>
      <c r="H53" s="72">
        <v>129</v>
      </c>
      <c r="I53" s="10">
        <f>kkk(T53,S53,R53,Q53,P53,O53,3)</f>
        <v>27.48</v>
      </c>
      <c r="J53" s="72">
        <v>154</v>
      </c>
      <c r="K53" s="10">
        <f>kkk(T53,S53,R53,Q53,P53,O53,2)</f>
        <v>24.93</v>
      </c>
      <c r="L53" s="72">
        <v>140</v>
      </c>
      <c r="M53" s="10">
        <f>kkk(T53,S53,R53,Q53,P53,O53,1)</f>
        <v>25.89</v>
      </c>
      <c r="N53" s="71">
        <v>17.21</v>
      </c>
      <c r="O53" s="64">
        <v>22.81</v>
      </c>
      <c r="P53" s="64">
        <v>46.67</v>
      </c>
      <c r="Q53" s="64">
        <v>36.67</v>
      </c>
      <c r="R53" s="64">
        <v>18.52</v>
      </c>
      <c r="S53" s="64">
        <v>5</v>
      </c>
      <c r="T53" s="65">
        <v>0</v>
      </c>
      <c r="U53"/>
    </row>
    <row r="54" spans="2:21" ht="30.75" customHeight="1" thickTop="1" thickBot="1" x14ac:dyDescent="0.25">
      <c r="B54" s="82"/>
      <c r="C54" s="83"/>
      <c r="D54" s="83"/>
      <c r="E54" s="76"/>
      <c r="F54" s="72">
        <v>167</v>
      </c>
      <c r="G54" s="12">
        <f>kkk(T54,S54,R54,Q54,P54,O54,4)</f>
        <v>25.47</v>
      </c>
      <c r="H54" s="72">
        <v>131</v>
      </c>
      <c r="I54" s="10">
        <f>kkk(T54,S54,R54,Q54,P54,O54,3)</f>
        <v>27.91</v>
      </c>
      <c r="J54" s="72">
        <v>160</v>
      </c>
      <c r="K54" s="10">
        <f>kkk(T54,S54,R54,Q54,P54,O54,2)</f>
        <v>24.88</v>
      </c>
      <c r="L54" s="72">
        <v>151</v>
      </c>
      <c r="M54" s="10">
        <f>kkk(T54,S54,R54,Q54,P54,O54,1)</f>
        <v>25.76</v>
      </c>
      <c r="N54" s="71">
        <v>16.850000000000001</v>
      </c>
      <c r="O54" s="64">
        <v>21.05</v>
      </c>
      <c r="P54" s="64">
        <v>53.33</v>
      </c>
      <c r="Q54" s="64">
        <v>16.670000000000002</v>
      </c>
      <c r="R54" s="64">
        <v>44.44</v>
      </c>
      <c r="S54" s="64">
        <v>1.67</v>
      </c>
      <c r="T54" s="65">
        <v>0</v>
      </c>
      <c r="U54"/>
    </row>
    <row r="55" spans="2:21" ht="30.75" customHeight="1" thickTop="1" thickBot="1" x14ac:dyDescent="0.25">
      <c r="B55" s="82"/>
      <c r="C55" s="83"/>
      <c r="D55" s="83"/>
      <c r="E55" s="76"/>
      <c r="F55" s="72">
        <v>153</v>
      </c>
      <c r="G55" s="12">
        <f>kkk(T55,S55,R55,Q55,P55,O55,4)</f>
        <v>24.59</v>
      </c>
      <c r="H55" s="72">
        <v>166</v>
      </c>
      <c r="I55" s="10">
        <f>kkk(T55,S55,R55,Q55,P55,O55,3)</f>
        <v>24.82</v>
      </c>
      <c r="J55" s="72">
        <v>194</v>
      </c>
      <c r="K55" s="10">
        <f>kkk(T55,S55,R55,Q55,P55,O55,2)</f>
        <v>21.95</v>
      </c>
      <c r="L55" s="72">
        <v>181</v>
      </c>
      <c r="M55" s="10">
        <f>kkk(T55,S55,R55,Q55,P55,O55,1)</f>
        <v>23.1</v>
      </c>
      <c r="N55" s="71"/>
      <c r="O55" s="64">
        <v>17.54</v>
      </c>
      <c r="P55" s="64">
        <v>43.33</v>
      </c>
      <c r="Q55" s="64">
        <v>40</v>
      </c>
      <c r="R55" s="64">
        <v>3.7</v>
      </c>
      <c r="S55" s="64">
        <v>5</v>
      </c>
      <c r="T55" s="65">
        <v>8.89</v>
      </c>
      <c r="U55"/>
    </row>
    <row r="56" spans="2:21" ht="30.75" customHeight="1" thickTop="1" thickBot="1" x14ac:dyDescent="0.25">
      <c r="B56" s="82"/>
      <c r="C56" s="83"/>
      <c r="D56" s="83"/>
      <c r="E56" s="76"/>
      <c r="F56" s="72">
        <v>211</v>
      </c>
      <c r="G56" s="12">
        <f>kkk(T56,S56,R56,Q56,P56,O56,4)</f>
        <v>20.11</v>
      </c>
      <c r="H56" s="72">
        <v>183</v>
      </c>
      <c r="I56" s="10">
        <f>kkk(T56,S56,R56,Q56,P56,O56,3)</f>
        <v>21.66</v>
      </c>
      <c r="J56" s="72">
        <v>220</v>
      </c>
      <c r="K56" s="10">
        <f>kkk(T56,S56,R56,Q56,P56,O56,2)</f>
        <v>19.12</v>
      </c>
      <c r="L56" s="72">
        <v>188</v>
      </c>
      <c r="M56" s="10">
        <f>kkk(T56,S56,R56,Q56,P56,O56,1)</f>
        <v>20.73</v>
      </c>
      <c r="N56" s="71">
        <v>20</v>
      </c>
      <c r="O56" s="64">
        <v>19.3</v>
      </c>
      <c r="P56" s="64">
        <v>33.33</v>
      </c>
      <c r="Q56" s="64">
        <v>10</v>
      </c>
      <c r="R56" s="64">
        <v>18.52</v>
      </c>
      <c r="S56" s="64">
        <v>33.33</v>
      </c>
      <c r="T56" s="65">
        <v>0</v>
      </c>
      <c r="U56"/>
    </row>
    <row r="57" spans="2:21" ht="30.75" customHeight="1" thickTop="1" thickBot="1" x14ac:dyDescent="0.25">
      <c r="B57" s="82"/>
      <c r="C57" s="83"/>
      <c r="D57" s="83"/>
      <c r="E57" s="76"/>
      <c r="F57" s="72">
        <v>262</v>
      </c>
      <c r="G57" s="12">
        <f>kkk(T57,S57,R57,Q57,P57,O57,4)</f>
        <v>19.62</v>
      </c>
      <c r="H57" s="72">
        <v>231</v>
      </c>
      <c r="I57" s="10">
        <f>kkk(T57,S57,R57,Q57,P57,O57,3)</f>
        <v>21.29</v>
      </c>
      <c r="J57" s="72">
        <v>290</v>
      </c>
      <c r="K57" s="10">
        <f>kkk(T57,S57,R57,Q57,P57,O57,2)</f>
        <v>18.190000000000001</v>
      </c>
      <c r="L57" s="72">
        <v>246</v>
      </c>
      <c r="M57" s="10">
        <f>kkk(T57,S57,R57,Q57,P57,O57,1)</f>
        <v>20.14</v>
      </c>
      <c r="N57" s="71">
        <v>20</v>
      </c>
      <c r="O57" s="64">
        <v>22.81</v>
      </c>
      <c r="P57" s="64">
        <v>40</v>
      </c>
      <c r="Q57" s="64">
        <v>15</v>
      </c>
      <c r="R57" s="64">
        <v>18.52</v>
      </c>
      <c r="S57" s="64">
        <v>3.33</v>
      </c>
      <c r="T57" s="65">
        <v>2.2200000000000002</v>
      </c>
      <c r="U57"/>
    </row>
    <row r="58" spans="2:21" ht="30.75" customHeight="1" thickTop="1" thickBot="1" x14ac:dyDescent="0.25">
      <c r="B58" s="82"/>
      <c r="C58" s="83"/>
      <c r="D58" s="83"/>
      <c r="E58" s="76"/>
      <c r="F58" s="72">
        <v>293</v>
      </c>
      <c r="G58" s="12">
        <f>kkk(T58,S58,R58,Q58,P58,O58,4)</f>
        <v>20.41</v>
      </c>
      <c r="H58" s="72">
        <v>283</v>
      </c>
      <c r="I58" s="10">
        <f>kkk(T58,S58,R58,Q58,P58,O58,3)</f>
        <v>21.41</v>
      </c>
      <c r="J58" s="72">
        <v>291</v>
      </c>
      <c r="K58" s="10">
        <f>kkk(T58,S58,R58,Q58,P58,O58,2)</f>
        <v>19.78</v>
      </c>
      <c r="L58" s="72">
        <v>249</v>
      </c>
      <c r="M58" s="10">
        <f>kkk(T58,S58,R58,Q58,P58,O58,1)</f>
        <v>21.52</v>
      </c>
      <c r="N58" s="71">
        <v>16.809999999999999</v>
      </c>
      <c r="O58" s="64">
        <v>33.33</v>
      </c>
      <c r="P58" s="64">
        <v>31.67</v>
      </c>
      <c r="Q58" s="64">
        <v>16.670000000000002</v>
      </c>
      <c r="R58" s="64">
        <v>22.22</v>
      </c>
      <c r="S58" s="64">
        <v>0</v>
      </c>
      <c r="T58" s="65">
        <v>0</v>
      </c>
      <c r="U58"/>
    </row>
    <row r="59" spans="2:21" ht="30.75" customHeight="1" thickTop="1" thickBot="1" x14ac:dyDescent="0.25">
      <c r="B59" s="82"/>
      <c r="C59" s="83"/>
      <c r="D59" s="83"/>
      <c r="E59" s="76"/>
      <c r="F59" s="72">
        <v>236</v>
      </c>
      <c r="G59" s="12">
        <f>kkk(T59,S59,R59,Q59,P59,O59,4)</f>
        <v>22.61</v>
      </c>
      <c r="H59" s="72">
        <v>189</v>
      </c>
      <c r="I59" s="10">
        <f>kkk(T59,S59,R59,Q59,P59,O59,3)</f>
        <v>24.84</v>
      </c>
      <c r="J59" s="72">
        <v>297</v>
      </c>
      <c r="K59" s="10">
        <f>kkk(T59,S59,R59,Q59,P59,O59,2)</f>
        <v>20.16</v>
      </c>
      <c r="L59" s="72">
        <v>233</v>
      </c>
      <c r="M59" s="10">
        <f>kkk(T59,S59,R59,Q59,P59,O59,1)</f>
        <v>22.68</v>
      </c>
      <c r="N59" s="71">
        <v>17.13</v>
      </c>
      <c r="O59" s="64">
        <v>19.3</v>
      </c>
      <c r="P59" s="64">
        <v>51.67</v>
      </c>
      <c r="Q59" s="64">
        <v>18.329999999999998</v>
      </c>
      <c r="R59" s="64">
        <v>14.81</v>
      </c>
      <c r="S59" s="64">
        <v>11.67</v>
      </c>
      <c r="T59" s="65">
        <v>0</v>
      </c>
      <c r="U59"/>
    </row>
    <row r="60" spans="2:21" ht="30.75" customHeight="1" thickTop="1" thickBot="1" x14ac:dyDescent="0.25">
      <c r="B60" s="82"/>
      <c r="C60" s="83"/>
      <c r="D60" s="83"/>
      <c r="E60" s="76"/>
      <c r="F60" s="72">
        <v>326</v>
      </c>
      <c r="G60" s="12">
        <f>kkk(T60,S60,R60,Q60,P60,O60,4)</f>
        <v>18.91</v>
      </c>
      <c r="H60" s="72">
        <v>328</v>
      </c>
      <c r="I60" s="10">
        <f>kkk(T60,S60,R60,Q60,P60,O60,3)</f>
        <v>19.579999999999998</v>
      </c>
      <c r="J60" s="72">
        <v>320</v>
      </c>
      <c r="K60" s="10">
        <f>kkk(T60,S60,R60,Q60,P60,O60,2)</f>
        <v>18.260000000000002</v>
      </c>
      <c r="L60" s="72">
        <v>280</v>
      </c>
      <c r="M60" s="10">
        <f>kkk(T60,S60,R60,Q60,P60,O60,1)</f>
        <v>19.68</v>
      </c>
      <c r="N60" s="71">
        <v>18.100000000000001</v>
      </c>
      <c r="O60" s="64">
        <v>29.82</v>
      </c>
      <c r="P60" s="64">
        <v>28.33</v>
      </c>
      <c r="Q60" s="64">
        <v>18.329999999999998</v>
      </c>
      <c r="R60" s="64">
        <v>18.52</v>
      </c>
      <c r="S60" s="64">
        <v>0</v>
      </c>
      <c r="T60" s="65">
        <v>-1.1000000000000001</v>
      </c>
      <c r="U60"/>
    </row>
    <row r="61" spans="2:21" ht="30.75" customHeight="1" thickTop="1" thickBot="1" x14ac:dyDescent="0.25">
      <c r="B61" s="82"/>
      <c r="C61" s="83"/>
      <c r="D61" s="83"/>
      <c r="E61" s="76"/>
      <c r="F61" s="72">
        <v>360</v>
      </c>
      <c r="G61" s="12">
        <f>kkk(T61,S61,R61,Q61,P61,O61,4)</f>
        <v>20.12</v>
      </c>
      <c r="H61" s="72">
        <v>367</v>
      </c>
      <c r="I61" s="10">
        <f>kkk(T61,S61,R61,Q61,P61,O61,3)</f>
        <v>21.01</v>
      </c>
      <c r="J61" s="72">
        <v>326</v>
      </c>
      <c r="K61" s="10">
        <f>kkk(T61,S61,R61,Q61,P61,O61,2)</f>
        <v>20.12</v>
      </c>
      <c r="L61" s="72">
        <v>387</v>
      </c>
      <c r="M61" s="10">
        <f>kkk(T61,S61,R61,Q61,P61,O61,1)</f>
        <v>19.84</v>
      </c>
      <c r="N61" s="71">
        <v>16.5</v>
      </c>
      <c r="O61" s="64">
        <v>15.79</v>
      </c>
      <c r="P61" s="64">
        <v>33.33</v>
      </c>
      <c r="Q61" s="64">
        <v>20</v>
      </c>
      <c r="R61" s="64">
        <v>33.33</v>
      </c>
      <c r="S61" s="64">
        <v>0</v>
      </c>
      <c r="T61" s="65">
        <v>7.78</v>
      </c>
      <c r="U61"/>
    </row>
    <row r="62" spans="2:21" ht="30.75" customHeight="1" thickTop="1" thickBot="1" x14ac:dyDescent="0.25">
      <c r="B62" s="82"/>
      <c r="C62" s="83"/>
      <c r="D62" s="83"/>
      <c r="E62" s="76"/>
      <c r="F62" s="72">
        <v>314</v>
      </c>
      <c r="G62" s="12">
        <f>kkk(T62,S62,R62,Q62,P62,O62,4)</f>
        <v>20.04</v>
      </c>
      <c r="H62" s="72">
        <v>241</v>
      </c>
      <c r="I62" s="10">
        <f>kkk(T62,S62,R62,Q62,P62,O62,3)</f>
        <v>22.82</v>
      </c>
      <c r="J62" s="72">
        <v>328</v>
      </c>
      <c r="K62" s="10">
        <f>kkk(T62,S62,R62,Q62,P62,O62,2)</f>
        <v>18.79</v>
      </c>
      <c r="L62" s="72">
        <v>320</v>
      </c>
      <c r="M62" s="10">
        <f>kkk(T62,S62,R62,Q62,P62,O62,1)</f>
        <v>20.18</v>
      </c>
      <c r="N62" s="71">
        <v>19.25</v>
      </c>
      <c r="O62" s="64">
        <v>8.77</v>
      </c>
      <c r="P62" s="64">
        <v>48.33</v>
      </c>
      <c r="Q62" s="64">
        <v>6.67</v>
      </c>
      <c r="R62" s="64">
        <v>29.63</v>
      </c>
      <c r="S62" s="64">
        <v>5</v>
      </c>
      <c r="T62" s="65">
        <v>33.33</v>
      </c>
      <c r="U62"/>
    </row>
    <row r="63" spans="2:21" ht="30.75" customHeight="1" thickTop="1" thickBot="1" x14ac:dyDescent="0.25">
      <c r="B63" s="82"/>
      <c r="C63" s="83"/>
      <c r="D63" s="83"/>
      <c r="E63" s="76"/>
      <c r="F63" s="72">
        <v>287</v>
      </c>
      <c r="G63" s="12">
        <f>kkk(T63,S63,R63,Q63,P63,O63,4)</f>
        <v>21.12</v>
      </c>
      <c r="H63" s="72">
        <v>287</v>
      </c>
      <c r="I63" s="10">
        <f>kkk(T63,S63,R63,Q63,P63,O63,3)</f>
        <v>21.9</v>
      </c>
      <c r="J63" s="72">
        <v>338</v>
      </c>
      <c r="K63" s="10">
        <f>kkk(T63,S63,R63,Q63,P63,O63,2)</f>
        <v>19.079999999999998</v>
      </c>
      <c r="L63" s="72">
        <v>333</v>
      </c>
      <c r="M63" s="10">
        <f>kkk(T63,S63,R63,Q63,P63,O63,1)</f>
        <v>20.170000000000002</v>
      </c>
      <c r="N63" s="71" t="s">
        <v>13</v>
      </c>
      <c r="O63" s="64">
        <v>15.79</v>
      </c>
      <c r="P63" s="64">
        <v>41.67</v>
      </c>
      <c r="Q63" s="64">
        <v>30</v>
      </c>
      <c r="R63" s="64">
        <v>11.11</v>
      </c>
      <c r="S63" s="64">
        <v>0</v>
      </c>
      <c r="T63" s="65">
        <v>2.2200000000000002</v>
      </c>
      <c r="U63"/>
    </row>
    <row r="64" spans="2:21" ht="30.75" customHeight="1" thickTop="1" thickBot="1" x14ac:dyDescent="0.25">
      <c r="B64" s="82"/>
      <c r="C64" s="83"/>
      <c r="D64" s="83"/>
      <c r="E64" s="76"/>
      <c r="F64" s="72">
        <v>400</v>
      </c>
      <c r="G64" s="12">
        <f>kkk(T64,S64,R64,Q64,P64,O64,4)</f>
        <v>17.38</v>
      </c>
      <c r="H64" s="72">
        <v>384</v>
      </c>
      <c r="I64" s="10">
        <f>kkk(T64,S64,R64,Q64,P64,O64,3)</f>
        <v>18.600000000000001</v>
      </c>
      <c r="J64" s="72">
        <v>349</v>
      </c>
      <c r="K64" s="10">
        <f>kkk(T64,S64,R64,Q64,P64,O64,2)</f>
        <v>17.690000000000001</v>
      </c>
      <c r="L64" s="72">
        <v>331</v>
      </c>
      <c r="M64" s="10">
        <f>kkk(T64,S64,R64,Q64,P64,O64,1)</f>
        <v>18.809999999999999</v>
      </c>
      <c r="N64" s="71">
        <v>17.66</v>
      </c>
      <c r="O64" s="64">
        <v>28.07</v>
      </c>
      <c r="P64" s="64">
        <v>25</v>
      </c>
      <c r="Q64" s="64">
        <v>6.67</v>
      </c>
      <c r="R64" s="64">
        <v>29.63</v>
      </c>
      <c r="S64" s="64">
        <v>5</v>
      </c>
      <c r="T64" s="65">
        <v>5.56</v>
      </c>
      <c r="U64"/>
    </row>
    <row r="65" spans="1:21" ht="30.75" customHeight="1" thickTop="1" thickBot="1" x14ac:dyDescent="0.25">
      <c r="B65" s="82"/>
      <c r="C65" s="83"/>
      <c r="D65" s="83"/>
      <c r="E65" s="76"/>
      <c r="F65" s="72">
        <v>484</v>
      </c>
      <c r="G65" s="12">
        <f>kkk(T65,S65,R65,Q65,P65,O65,4)</f>
        <v>19.21</v>
      </c>
      <c r="H65" s="72">
        <v>546</v>
      </c>
      <c r="I65" s="10">
        <f>kkk(T65,S65,R65,Q65,P65,O65,3)</f>
        <v>19.21</v>
      </c>
      <c r="J65" s="72">
        <v>355</v>
      </c>
      <c r="K65" s="10">
        <f>kkk(T65,S65,R65,Q65,P65,O65,2)</f>
        <v>20.84</v>
      </c>
      <c r="L65" s="72">
        <v>505</v>
      </c>
      <c r="M65" s="10">
        <f>kkk(T65,S65,R65,Q65,P65,O65,1)</f>
        <v>19.05</v>
      </c>
      <c r="N65" s="71">
        <v>13.97</v>
      </c>
      <c r="O65" s="64">
        <v>17.54</v>
      </c>
      <c r="P65" s="64">
        <v>20</v>
      </c>
      <c r="Q65" s="64">
        <v>20</v>
      </c>
      <c r="R65" s="64">
        <v>44.44</v>
      </c>
      <c r="S65" s="64">
        <v>3.33</v>
      </c>
      <c r="T65" s="65">
        <v>0</v>
      </c>
      <c r="U65"/>
    </row>
    <row r="66" spans="1:21" ht="30.75" customHeight="1" thickTop="1" thickBot="1" x14ac:dyDescent="0.25">
      <c r="B66" s="82"/>
      <c r="C66" s="83"/>
      <c r="D66" s="83"/>
      <c r="E66" s="76"/>
      <c r="F66" s="72">
        <v>317</v>
      </c>
      <c r="G66" s="12">
        <f>kkk(T66,S66,R66,Q66,P66,O66,4)</f>
        <v>19.53</v>
      </c>
      <c r="H66" s="72">
        <v>256</v>
      </c>
      <c r="I66" s="10">
        <f>kkk(T66,S66,R66,Q66,P66,O66,3)</f>
        <v>21.86</v>
      </c>
      <c r="J66" s="72">
        <v>362</v>
      </c>
      <c r="K66" s="10">
        <f>kkk(T66,S66,R66,Q66,P66,O66,2)</f>
        <v>17.63</v>
      </c>
      <c r="L66" s="72">
        <v>242</v>
      </c>
      <c r="M66" s="10">
        <f>kkk(T66,S66,R66,Q66,P66,O66,1)</f>
        <v>21.19</v>
      </c>
      <c r="N66" s="71">
        <v>17.64</v>
      </c>
      <c r="O66" s="64">
        <v>33.33</v>
      </c>
      <c r="P66" s="64">
        <v>43.33</v>
      </c>
      <c r="Q66" s="64">
        <v>8.33</v>
      </c>
      <c r="R66" s="64">
        <v>14.81</v>
      </c>
      <c r="S66" s="64">
        <v>0</v>
      </c>
      <c r="T66" s="65">
        <v>0</v>
      </c>
      <c r="U66"/>
    </row>
    <row r="67" spans="1:21" ht="30.75" customHeight="1" thickTop="1" thickBot="1" x14ac:dyDescent="0.25">
      <c r="B67" s="82"/>
      <c r="C67" s="83"/>
      <c r="D67" s="83"/>
      <c r="E67" s="76"/>
      <c r="F67" s="72">
        <v>396</v>
      </c>
      <c r="G67" s="12">
        <f>kkk(T67,S67,R67,Q67,P67,O67,4)</f>
        <v>17.350000000000001</v>
      </c>
      <c r="H67" s="72">
        <v>386</v>
      </c>
      <c r="I67" s="10">
        <f>kkk(T67,S67,R67,Q67,P67,O67,3)</f>
        <v>18.57</v>
      </c>
      <c r="J67" s="72">
        <v>366</v>
      </c>
      <c r="K67" s="10">
        <f>kkk(T67,S67,R67,Q67,P67,O67,2)</f>
        <v>17.21</v>
      </c>
      <c r="L67" s="72">
        <v>395</v>
      </c>
      <c r="M67" s="10">
        <f>kkk(T67,S67,R67,Q67,P67,O67,1)</f>
        <v>17.63</v>
      </c>
      <c r="N67" s="71">
        <v>17.670000000000002</v>
      </c>
      <c r="O67" s="64">
        <v>17.54</v>
      </c>
      <c r="P67" s="64">
        <v>31.67</v>
      </c>
      <c r="Q67" s="64">
        <v>13.33</v>
      </c>
      <c r="R67" s="64">
        <v>29.63</v>
      </c>
      <c r="S67" s="64">
        <v>0</v>
      </c>
      <c r="T67" s="65">
        <v>0</v>
      </c>
      <c r="U67"/>
    </row>
    <row r="68" spans="1:21" ht="30.75" customHeight="1" thickTop="1" thickBot="1" x14ac:dyDescent="0.25">
      <c r="B68" s="82"/>
      <c r="C68" s="83"/>
      <c r="D68" s="83"/>
      <c r="E68" s="76"/>
      <c r="F68" s="72">
        <v>395</v>
      </c>
      <c r="G68" s="12">
        <f>kkk(T68,S68,R68,Q68,P68,O68,4)</f>
        <v>19.2</v>
      </c>
      <c r="H68" s="72">
        <v>384</v>
      </c>
      <c r="I68" s="10">
        <f>kkk(T68,S68,R68,Q68,P68,O68,3)</f>
        <v>20.420000000000002</v>
      </c>
      <c r="J68" s="72">
        <v>368</v>
      </c>
      <c r="K68" s="10">
        <f>kkk(T68,S68,R68,Q68,P68,O68,2)</f>
        <v>18.86</v>
      </c>
      <c r="L68" s="72">
        <v>457</v>
      </c>
      <c r="M68" s="10">
        <f>kkk(T68,S68,R68,Q68,P68,O68,1)</f>
        <v>18.45</v>
      </c>
      <c r="N68" s="71">
        <v>17.440000000000001</v>
      </c>
      <c r="O68" s="64">
        <v>8.77</v>
      </c>
      <c r="P68" s="64">
        <v>38.33</v>
      </c>
      <c r="Q68" s="64">
        <v>20</v>
      </c>
      <c r="R68" s="64">
        <v>33.33</v>
      </c>
      <c r="S68" s="64">
        <v>0</v>
      </c>
      <c r="T68" s="65">
        <v>0</v>
      </c>
      <c r="U68"/>
    </row>
    <row r="69" spans="1:21" ht="30.75" customHeight="1" thickTop="1" thickBot="1" x14ac:dyDescent="0.25">
      <c r="B69" s="82"/>
      <c r="C69" s="83"/>
      <c r="D69" s="83"/>
      <c r="E69" s="76"/>
      <c r="F69" s="72">
        <v>394</v>
      </c>
      <c r="G69" s="12">
        <f>kkk(T69,S69,R69,Q69,P69,O69,4)</f>
        <v>18.2</v>
      </c>
      <c r="H69" s="72">
        <v>357</v>
      </c>
      <c r="I69" s="10">
        <f>kkk(T69,S69,R69,Q69,P69,O69,3)</f>
        <v>20.09</v>
      </c>
      <c r="J69" s="72">
        <v>428</v>
      </c>
      <c r="K69" s="10">
        <f>kkk(T69,S69,R69,Q69,P69,O69,2)</f>
        <v>16.77</v>
      </c>
      <c r="L69" s="72">
        <v>381</v>
      </c>
      <c r="M69" s="10">
        <f>kkk(T69,S69,R69,Q69,P69,O69,1)</f>
        <v>18.59</v>
      </c>
      <c r="N69" s="71">
        <v>18.010000000000002</v>
      </c>
      <c r="O69" s="64">
        <v>17.54</v>
      </c>
      <c r="P69" s="64">
        <v>40</v>
      </c>
      <c r="Q69" s="64">
        <v>11.67</v>
      </c>
      <c r="R69" s="64">
        <v>18.52</v>
      </c>
      <c r="S69" s="64">
        <v>5</v>
      </c>
      <c r="T69" s="65">
        <v>6.67</v>
      </c>
      <c r="U69"/>
    </row>
    <row r="70" spans="1:21" ht="30.75" customHeight="1" thickTop="1" thickBot="1" x14ac:dyDescent="0.25">
      <c r="B70" s="82"/>
      <c r="C70" s="83"/>
      <c r="D70" s="83"/>
      <c r="E70" s="76"/>
      <c r="F70" s="72">
        <v>386</v>
      </c>
      <c r="G70" s="12">
        <f>kkk(T70,S70,R70,Q70,P70,O70,4)</f>
        <v>15.28</v>
      </c>
      <c r="H70" s="72">
        <v>409</v>
      </c>
      <c r="I70" s="10">
        <f>kkk(T70,S70,R70,Q70,P70,O70,3)</f>
        <v>15.72</v>
      </c>
      <c r="J70" s="72">
        <v>429</v>
      </c>
      <c r="K70" s="10">
        <f>kkk(T70,S70,R70,Q70,P70,O70,2)</f>
        <v>13.94</v>
      </c>
      <c r="L70" s="72">
        <v>307</v>
      </c>
      <c r="M70" s="10">
        <f>kkk(T70,S70,R70,Q70,P70,O70,1)</f>
        <v>16.96</v>
      </c>
      <c r="N70" s="71">
        <v>20</v>
      </c>
      <c r="O70" s="64">
        <v>38.6</v>
      </c>
      <c r="P70" s="64">
        <v>20</v>
      </c>
      <c r="Q70" s="64">
        <v>13.33</v>
      </c>
      <c r="R70" s="64">
        <v>0</v>
      </c>
      <c r="S70" s="64">
        <v>-1.66</v>
      </c>
      <c r="T70" s="65">
        <v>3.33</v>
      </c>
      <c r="U70"/>
    </row>
    <row r="71" spans="1:21" ht="30.75" customHeight="1" thickTop="1" thickBot="1" x14ac:dyDescent="0.25">
      <c r="B71" s="82"/>
      <c r="C71" s="83"/>
      <c r="D71" s="83"/>
      <c r="E71" s="76"/>
      <c r="F71" s="72">
        <v>457</v>
      </c>
      <c r="G71" s="12">
        <f>kkk(T71,S71,R71,Q71,P71,O71,4)</f>
        <v>16.05</v>
      </c>
      <c r="H71" s="72">
        <v>472</v>
      </c>
      <c r="I71" s="10">
        <f>kkk(T71,S71,R71,Q71,P71,O71,3)</f>
        <v>16.829999999999998</v>
      </c>
      <c r="J71" s="72">
        <v>442</v>
      </c>
      <c r="K71" s="10">
        <f>kkk(T71,S71,R71,Q71,P71,O71,2)</f>
        <v>15.62</v>
      </c>
      <c r="L71" s="72">
        <v>442</v>
      </c>
      <c r="M71" s="10">
        <f>kkk(T71,S71,R71,Q71,P71,O71,1)</f>
        <v>16.559999999999999</v>
      </c>
      <c r="N71" s="71">
        <v>18.989999999999998</v>
      </c>
      <c r="O71" s="64">
        <v>21.05</v>
      </c>
      <c r="P71" s="64">
        <v>25</v>
      </c>
      <c r="Q71" s="64">
        <v>13.33</v>
      </c>
      <c r="R71" s="64">
        <v>18.52</v>
      </c>
      <c r="S71" s="64">
        <v>0</v>
      </c>
      <c r="T71" s="65">
        <v>12.22</v>
      </c>
      <c r="U71"/>
    </row>
    <row r="72" spans="1:21" ht="30.75" customHeight="1" thickTop="1" thickBot="1" x14ac:dyDescent="0.25">
      <c r="B72" s="82"/>
      <c r="C72" s="83"/>
      <c r="D72" s="83"/>
      <c r="E72" s="76"/>
      <c r="F72" s="72">
        <v>628</v>
      </c>
      <c r="G72" s="12">
        <f>kkk(T72,S72,R72,Q72,P72,O72,4)</f>
        <v>17.14</v>
      </c>
      <c r="H72" s="72">
        <v>685</v>
      </c>
      <c r="I72" s="10">
        <f>kkk(T72,S72,R72,Q72,P72,O72,3)</f>
        <v>17.14</v>
      </c>
      <c r="J72" s="72">
        <v>462</v>
      </c>
      <c r="K72" s="10">
        <f>kkk(T72,S72,R72,Q72,P72,O72,2)</f>
        <v>18.77</v>
      </c>
      <c r="L72" s="72">
        <v>702</v>
      </c>
      <c r="M72" s="10">
        <f>kkk(T72,S72,R72,Q72,P72,O72,1)</f>
        <v>16.510000000000002</v>
      </c>
      <c r="N72" s="71">
        <v>14.61</v>
      </c>
      <c r="O72" s="64">
        <v>10.53</v>
      </c>
      <c r="P72" s="64">
        <v>20</v>
      </c>
      <c r="Q72" s="64">
        <v>20</v>
      </c>
      <c r="R72" s="64">
        <v>44.44</v>
      </c>
      <c r="S72" s="64">
        <v>0</v>
      </c>
      <c r="T72" s="65">
        <v>-3.32</v>
      </c>
      <c r="U72"/>
    </row>
    <row r="73" spans="1:21" ht="30.75" customHeight="1" thickTop="1" thickBot="1" x14ac:dyDescent="0.25">
      <c r="B73" s="82"/>
      <c r="C73" s="83"/>
      <c r="D73" s="83"/>
      <c r="E73" s="76"/>
      <c r="F73" s="72">
        <v>420</v>
      </c>
      <c r="G73" s="12">
        <f>kkk(T73,S73,R73,Q73,P73,O73,4)</f>
        <v>19.34</v>
      </c>
      <c r="H73" s="72">
        <v>396</v>
      </c>
      <c r="I73" s="10">
        <f>kkk(T73,S73,R73,Q73,P73,O73,3)</f>
        <v>20.79</v>
      </c>
      <c r="J73" s="72">
        <v>484</v>
      </c>
      <c r="K73" s="10">
        <f>kkk(T73,S73,R73,Q73,P73,O73,2)</f>
        <v>17.41</v>
      </c>
      <c r="L73" s="72">
        <v>428</v>
      </c>
      <c r="M73" s="10">
        <f>kkk(T73,S73,R73,Q73,P73,O73,1)</f>
        <v>19.41</v>
      </c>
      <c r="N73" s="71">
        <v>15.68</v>
      </c>
      <c r="O73" s="64">
        <v>19.3</v>
      </c>
      <c r="P73" s="64">
        <v>40</v>
      </c>
      <c r="Q73" s="64">
        <v>18.329999999999998</v>
      </c>
      <c r="R73" s="64">
        <v>11.11</v>
      </c>
      <c r="S73" s="64">
        <v>5</v>
      </c>
      <c r="T73" s="65">
        <v>6.67</v>
      </c>
      <c r="U73"/>
    </row>
    <row r="74" spans="1:21" ht="30.75" customHeight="1" thickTop="1" thickBot="1" x14ac:dyDescent="0.25">
      <c r="B74" s="82"/>
      <c r="C74" s="83"/>
      <c r="D74" s="83"/>
      <c r="E74" s="77" t="s">
        <v>36</v>
      </c>
      <c r="F74" s="73">
        <v>460</v>
      </c>
      <c r="G74" s="13">
        <f>kkk(T74,S74,R74,Q74,P74,O74,4)</f>
        <v>17.989999999999998</v>
      </c>
      <c r="H74" s="73">
        <v>399</v>
      </c>
      <c r="I74" s="11">
        <f>kkk(T74,S74,R74,Q74,P74,O74,3)</f>
        <v>20.25</v>
      </c>
      <c r="J74" s="73">
        <v>509</v>
      </c>
      <c r="K74" s="11">
        <f>kkk(T74,S74,R74,Q74,P74,O74,2)</f>
        <v>16.45</v>
      </c>
      <c r="L74" s="73">
        <v>459</v>
      </c>
      <c r="M74" s="11">
        <f>kkk(T74,S74,R74,Q74,P74,O74,1)</f>
        <v>18.29</v>
      </c>
      <c r="N74" s="71"/>
      <c r="O74" s="66">
        <v>15.6</v>
      </c>
      <c r="P74" s="66">
        <v>45</v>
      </c>
      <c r="Q74" s="66">
        <v>11</v>
      </c>
      <c r="R74" s="66">
        <v>22</v>
      </c>
      <c r="S74" s="66">
        <v>0</v>
      </c>
      <c r="T74" s="67">
        <v>0</v>
      </c>
      <c r="U74"/>
    </row>
    <row r="75" spans="1:21" ht="30.75" customHeight="1" thickTop="1" thickBot="1" x14ac:dyDescent="0.25">
      <c r="B75" s="82"/>
      <c r="C75" s="83"/>
      <c r="D75" s="83"/>
      <c r="E75" s="76"/>
      <c r="F75" s="72">
        <v>588</v>
      </c>
      <c r="G75" s="12">
        <f>kkk(T75,S75,R75,Q75,P75,O75,4)</f>
        <v>15.25</v>
      </c>
      <c r="H75" s="72">
        <v>519</v>
      </c>
      <c r="I75" s="10">
        <f>kkk(T75,S75,R75,Q75,P75,O75,3)</f>
        <v>17.14</v>
      </c>
      <c r="J75" s="72">
        <v>510</v>
      </c>
      <c r="K75" s="10">
        <f>kkk(T75,S75,R75,Q75,P75,O75,2)</f>
        <v>15.47</v>
      </c>
      <c r="L75" s="72">
        <v>501</v>
      </c>
      <c r="M75" s="10">
        <f>kkk(T75,S75,R75,Q75,P75,O75,1)</f>
        <v>16.54</v>
      </c>
      <c r="N75" s="71">
        <v>17.52</v>
      </c>
      <c r="O75" s="64">
        <v>21.05</v>
      </c>
      <c r="P75" s="64">
        <v>30</v>
      </c>
      <c r="Q75" s="64">
        <v>1.67</v>
      </c>
      <c r="R75" s="64">
        <v>33.33</v>
      </c>
      <c r="S75" s="64">
        <v>0</v>
      </c>
      <c r="T75" s="65">
        <v>2.2200000000000002</v>
      </c>
      <c r="U75"/>
    </row>
    <row r="76" spans="1:21" ht="30.75" customHeight="1" thickTop="1" thickBot="1" x14ac:dyDescent="0.25">
      <c r="B76" s="82"/>
      <c r="C76" s="83"/>
      <c r="D76" s="83"/>
      <c r="E76" s="76"/>
      <c r="F76" s="72">
        <v>617</v>
      </c>
      <c r="G76" s="12">
        <f>kkk(T76,S76,R76,Q76,P76,O76,4)</f>
        <v>13.92</v>
      </c>
      <c r="H76" s="75">
        <v>703</v>
      </c>
      <c r="I76" s="10">
        <f>kkk(T76,S76,R76,Q76,P76,O76,3)</f>
        <v>13.48</v>
      </c>
      <c r="J76" s="72">
        <v>526</v>
      </c>
      <c r="K76" s="10">
        <f>kkk(T76,S76,R76,Q76,P76,O76,2)</f>
        <v>14.66</v>
      </c>
      <c r="L76" s="72">
        <v>447</v>
      </c>
      <c r="M76" s="10">
        <f>kkk(T76,S76,R76,Q76,P76,O76,1)</f>
        <v>16.170000000000002</v>
      </c>
      <c r="N76" s="71">
        <v>16.95</v>
      </c>
      <c r="O76" s="64">
        <v>40.35</v>
      </c>
      <c r="P76" s="64">
        <v>0</v>
      </c>
      <c r="Q76" s="64">
        <v>6.67</v>
      </c>
      <c r="R76" s="64">
        <v>11.11</v>
      </c>
      <c r="S76" s="64">
        <v>0</v>
      </c>
      <c r="T76" s="65">
        <v>38.89</v>
      </c>
      <c r="U76"/>
    </row>
    <row r="77" spans="1:21" ht="30.75" customHeight="1" thickTop="1" thickBot="1" x14ac:dyDescent="0.25">
      <c r="B77" s="82"/>
      <c r="C77" s="83"/>
      <c r="D77" s="83"/>
      <c r="E77" s="76"/>
      <c r="F77" s="72">
        <v>440</v>
      </c>
      <c r="G77" s="12">
        <f>kkk(T77,S77,R77,Q77,P77,O77,4)</f>
        <v>16</v>
      </c>
      <c r="H77" s="75">
        <v>388</v>
      </c>
      <c r="I77" s="10">
        <f>kkk(T77,S77,R77,Q77,P77,O77,3)</f>
        <v>18</v>
      </c>
      <c r="J77" s="72">
        <v>530</v>
      </c>
      <c r="K77" s="10">
        <f>kkk(T77,S77,R77,Q77,P77,O77,2)</f>
        <v>14</v>
      </c>
      <c r="L77" s="72">
        <v>305</v>
      </c>
      <c r="M77" s="10">
        <f>kkk(T77,S77,R77,Q77,P77,O77,1)</f>
        <v>18.690000000000001</v>
      </c>
      <c r="N77" s="71">
        <v>18.2</v>
      </c>
      <c r="O77" s="64">
        <v>40.35</v>
      </c>
      <c r="P77" s="64">
        <v>30</v>
      </c>
      <c r="Q77" s="64">
        <v>0</v>
      </c>
      <c r="R77" s="64">
        <v>0</v>
      </c>
      <c r="S77" s="64">
        <v>0</v>
      </c>
      <c r="T77" s="65">
        <v>28.89</v>
      </c>
      <c r="U77"/>
    </row>
    <row r="78" spans="1:21" ht="30.75" customHeight="1" thickTop="1" thickBot="1" x14ac:dyDescent="0.25">
      <c r="B78" s="82"/>
      <c r="C78" s="83"/>
      <c r="D78" s="83"/>
      <c r="E78" s="76"/>
      <c r="F78" s="72">
        <v>594</v>
      </c>
      <c r="G78" s="12">
        <f>kkk(T78,S78,R78,Q78,P78,O78,4)</f>
        <v>16.55</v>
      </c>
      <c r="H78" s="75">
        <v>542</v>
      </c>
      <c r="I78" s="10">
        <f>kkk(T78,S78,R78,Q78,P78,O78,3)</f>
        <v>18.21</v>
      </c>
      <c r="J78" s="72">
        <v>536</v>
      </c>
      <c r="K78" s="10">
        <f>kkk(T78,S78,R78,Q78,P78,O78,2)</f>
        <v>16.52</v>
      </c>
      <c r="L78" s="72">
        <v>493</v>
      </c>
      <c r="M78" s="10">
        <f>kkk(T78,S78,R78,Q78,P78,O78,1)</f>
        <v>17.97</v>
      </c>
      <c r="N78" s="71">
        <v>15.16</v>
      </c>
      <c r="O78" s="64">
        <v>26.32</v>
      </c>
      <c r="P78" s="64">
        <v>30</v>
      </c>
      <c r="Q78" s="64">
        <v>5</v>
      </c>
      <c r="R78" s="64">
        <v>29.63</v>
      </c>
      <c r="S78" s="64">
        <v>0</v>
      </c>
      <c r="T78" s="65">
        <v>0</v>
      </c>
      <c r="U78"/>
    </row>
    <row r="79" spans="1:21" ht="30.75" customHeight="1" thickTop="1" thickBot="1" x14ac:dyDescent="0.25">
      <c r="B79" s="82"/>
      <c r="C79" s="83"/>
      <c r="D79" s="83"/>
      <c r="E79" s="87" t="s">
        <v>37</v>
      </c>
      <c r="F79" s="74">
        <v>637</v>
      </c>
      <c r="G79" s="58">
        <f>kkk(T79,S79,R79,Q79,P79,O79,4)</f>
        <v>14.59</v>
      </c>
      <c r="H79" s="74">
        <v>658</v>
      </c>
      <c r="I79" s="59">
        <f>kkk(T79,S79,R79,Q79,P79,O79,3)</f>
        <v>15.15</v>
      </c>
      <c r="J79" s="74">
        <v>540</v>
      </c>
      <c r="K79" s="59">
        <f>kkk(T79,S79,R79,Q79,P79,O79,2)</f>
        <v>15.01</v>
      </c>
      <c r="L79" s="74">
        <v>686</v>
      </c>
      <c r="M79" s="59">
        <f>kkk(T79,S79,R79,Q79,P79,O79,1)</f>
        <v>14.18</v>
      </c>
      <c r="N79" s="71">
        <v>19.440000000000001</v>
      </c>
      <c r="O79" s="68">
        <v>8.77</v>
      </c>
      <c r="P79" s="68">
        <v>23.33</v>
      </c>
      <c r="Q79" s="68">
        <v>15</v>
      </c>
      <c r="R79" s="68">
        <v>29.63</v>
      </c>
      <c r="S79" s="68">
        <v>1.67</v>
      </c>
      <c r="T79" s="69">
        <v>0</v>
      </c>
      <c r="U79"/>
    </row>
    <row r="80" spans="1:21" ht="30.75" customHeight="1" thickTop="1" thickBot="1" x14ac:dyDescent="0.25">
      <c r="A80" s="31"/>
      <c r="B80" s="82"/>
      <c r="C80" s="83"/>
      <c r="D80" s="83"/>
      <c r="E80" s="76"/>
      <c r="F80" s="72">
        <v>510</v>
      </c>
      <c r="G80" s="12">
        <f>kkk(T80,S80,R80,Q80,P80,O80,4)</f>
        <v>13.9</v>
      </c>
      <c r="H80" s="72">
        <v>445</v>
      </c>
      <c r="I80" s="10">
        <f>kkk(T80,S80,R80,Q80,P80,O80,3)</f>
        <v>15.9</v>
      </c>
      <c r="J80" s="72">
        <v>562</v>
      </c>
      <c r="K80" s="10">
        <f>kkk(T80,S80,R80,Q80,P80,O80,2)</f>
        <v>12.5</v>
      </c>
      <c r="L80" s="72">
        <v>365</v>
      </c>
      <c r="M80" s="10">
        <f>kkk(T80,S80,R80,Q80,P80,O80,1)</f>
        <v>16.350000000000001</v>
      </c>
      <c r="N80" s="71">
        <v>19.13</v>
      </c>
      <c r="O80" s="64">
        <v>35.090000000000003</v>
      </c>
      <c r="P80" s="64">
        <v>28.33</v>
      </c>
      <c r="Q80" s="64">
        <v>-1.66</v>
      </c>
      <c r="R80" s="64">
        <v>7.41</v>
      </c>
      <c r="S80" s="64">
        <v>5</v>
      </c>
      <c r="T80" s="65">
        <v>0</v>
      </c>
      <c r="U80"/>
    </row>
    <row r="81" spans="1:21" ht="30.75" customHeight="1" thickTop="1" thickBot="1" x14ac:dyDescent="0.25">
      <c r="A81" s="31"/>
      <c r="B81" s="82"/>
      <c r="C81" s="83"/>
      <c r="D81" s="83"/>
      <c r="E81" s="79"/>
      <c r="F81" s="72">
        <v>648</v>
      </c>
      <c r="G81" s="12">
        <f>kkk(T81,S81,R81,Q81,P81,O81,4)</f>
        <v>13.68</v>
      </c>
      <c r="H81" s="72">
        <v>756</v>
      </c>
      <c r="I81" s="10">
        <f>kkk(T81,S81,R81,Q81,P81,O81,3)</f>
        <v>13.35</v>
      </c>
      <c r="J81" s="72">
        <v>562</v>
      </c>
      <c r="K81" s="10">
        <f>kkk(T81,S81,R81,Q81,P81,O81,2)</f>
        <v>14.38</v>
      </c>
      <c r="L81" s="72">
        <v>706</v>
      </c>
      <c r="M81" s="10">
        <f>kkk(T81,S81,R81,Q81,P81,O81,1)</f>
        <v>13.39</v>
      </c>
      <c r="N81" s="71"/>
      <c r="O81" s="64">
        <v>12.28</v>
      </c>
      <c r="P81" s="64">
        <v>11.67</v>
      </c>
      <c r="Q81" s="64">
        <v>16.670000000000002</v>
      </c>
      <c r="R81" s="64">
        <v>22.22</v>
      </c>
      <c r="S81" s="64">
        <v>8.33</v>
      </c>
      <c r="T81" s="65">
        <v>5.56</v>
      </c>
      <c r="U81"/>
    </row>
    <row r="82" spans="1:21" ht="30.75" customHeight="1" thickTop="1" thickBot="1" x14ac:dyDescent="0.25">
      <c r="A82" s="31"/>
      <c r="B82" s="84"/>
      <c r="C82" s="84"/>
      <c r="D82" s="84"/>
      <c r="E82" s="79"/>
      <c r="F82" s="72">
        <v>544</v>
      </c>
      <c r="G82" s="12">
        <f>kkk(T82,S82,R82,Q82,P82,O82,4)</f>
        <v>17.3</v>
      </c>
      <c r="H82" s="72">
        <v>577</v>
      </c>
      <c r="I82" s="10">
        <f>kkk(T82,S82,R82,Q82,P82,O82,3)</f>
        <v>17.739999999999998</v>
      </c>
      <c r="J82" s="72">
        <v>647</v>
      </c>
      <c r="K82" s="10">
        <f>kkk(T82,S82,R82,Q82,P82,O82,2)</f>
        <v>15.46</v>
      </c>
      <c r="L82" s="72">
        <v>658</v>
      </c>
      <c r="M82" s="10">
        <f>kkk(T82,S82,R82,Q82,P82,O82,1)</f>
        <v>15.99</v>
      </c>
      <c r="N82" s="71">
        <v>16.8</v>
      </c>
      <c r="O82" s="64">
        <v>8.77</v>
      </c>
      <c r="P82" s="64">
        <v>35</v>
      </c>
      <c r="Q82" s="64">
        <v>28.33</v>
      </c>
      <c r="R82" s="64">
        <v>7.41</v>
      </c>
      <c r="S82" s="64">
        <v>0</v>
      </c>
      <c r="T82" s="65">
        <v>0</v>
      </c>
      <c r="U82"/>
    </row>
    <row r="83" spans="1:21" ht="30.75" customHeight="1" thickTop="1" thickBot="1" x14ac:dyDescent="0.25">
      <c r="A83" s="31"/>
      <c r="B83" s="84"/>
      <c r="C83" s="84"/>
      <c r="D83" s="84"/>
      <c r="E83" s="79"/>
      <c r="F83" s="72">
        <v>590</v>
      </c>
      <c r="G83" s="12">
        <f>kkk(T83,S83,R83,Q83,P83,O83,4)</f>
        <v>16.02</v>
      </c>
      <c r="H83" s="72">
        <v>555</v>
      </c>
      <c r="I83" s="10">
        <f>kkk(T83,S83,R83,Q83,P83,O83,3)</f>
        <v>17.350000000000001</v>
      </c>
      <c r="J83" s="72">
        <v>714</v>
      </c>
      <c r="K83" s="10">
        <f>kkk(T83,S83,R83,Q83,P83,O83,2)</f>
        <v>13.93</v>
      </c>
      <c r="L83" s="72">
        <v>564</v>
      </c>
      <c r="M83" s="10">
        <f>kkk(T83,S83,R83,Q83,P83,O83,1)</f>
        <v>16.309999999999999</v>
      </c>
      <c r="N83" s="71">
        <v>16.72</v>
      </c>
      <c r="O83" s="64">
        <v>19.3</v>
      </c>
      <c r="P83" s="64">
        <v>35</v>
      </c>
      <c r="Q83" s="64">
        <v>15</v>
      </c>
      <c r="R83" s="64">
        <v>3.7</v>
      </c>
      <c r="S83" s="64">
        <v>5</v>
      </c>
      <c r="T83" s="65">
        <v>0</v>
      </c>
      <c r="U83"/>
    </row>
    <row r="84" spans="1:21" ht="30.75" customHeight="1" thickTop="1" thickBot="1" x14ac:dyDescent="0.25">
      <c r="A84" s="31"/>
      <c r="B84" s="84"/>
      <c r="C84" s="84"/>
      <c r="D84" s="84"/>
      <c r="E84" s="79"/>
      <c r="F84" s="72">
        <v>653</v>
      </c>
      <c r="G84" s="12">
        <f>kkk(T84,S84,R84,Q84,P84,O84,4)</f>
        <v>15.22</v>
      </c>
      <c r="H84" s="72">
        <v>797</v>
      </c>
      <c r="I84" s="10">
        <f>kkk(T84,S84,R84,Q84,P84,O84,3)</f>
        <v>14.66</v>
      </c>
      <c r="J84" s="72">
        <v>734</v>
      </c>
      <c r="K84" s="10">
        <f>kkk(T84,S84,R84,Q84,P84,O84,2)</f>
        <v>14.11</v>
      </c>
      <c r="L84" s="72">
        <v>780</v>
      </c>
      <c r="M84" s="10">
        <f>kkk(T84,S84,R84,Q84,P84,O84,1)</f>
        <v>14.25</v>
      </c>
      <c r="N84" s="71">
        <v>16.93</v>
      </c>
      <c r="O84" s="64">
        <v>10.53</v>
      </c>
      <c r="P84" s="64">
        <v>16.670000000000002</v>
      </c>
      <c r="Q84" s="64">
        <v>25</v>
      </c>
      <c r="R84" s="64">
        <v>0</v>
      </c>
      <c r="S84" s="64">
        <v>8.33</v>
      </c>
      <c r="T84" s="65">
        <v>30</v>
      </c>
      <c r="U84"/>
    </row>
    <row r="85" spans="1:21" ht="30.75" customHeight="1" thickTop="1" thickBot="1" x14ac:dyDescent="0.25">
      <c r="A85" s="31"/>
      <c r="B85" s="84"/>
      <c r="C85" s="84"/>
      <c r="D85" s="84"/>
      <c r="E85" s="78" t="s">
        <v>38</v>
      </c>
      <c r="F85" s="73">
        <v>772</v>
      </c>
      <c r="G85" s="13">
        <f>kkk(T85,S85,R85,Q85,P85,O85,4)</f>
        <v>13.52</v>
      </c>
      <c r="H85" s="73">
        <v>824</v>
      </c>
      <c r="I85" s="11">
        <f>kkk(T85,S85,R85,Q85,P85,O85,3)</f>
        <v>13.85</v>
      </c>
      <c r="J85" s="73">
        <v>810</v>
      </c>
      <c r="K85" s="11">
        <f>kkk(T85,S85,R85,Q85,P85,O85,2)</f>
        <v>12.81</v>
      </c>
      <c r="L85" s="73">
        <v>889</v>
      </c>
      <c r="M85" s="11">
        <f>kkk(T85,S85,R85,Q85,P85,O85,1)</f>
        <v>12.87</v>
      </c>
      <c r="N85" s="71">
        <v>18.829999999999998</v>
      </c>
      <c r="O85" s="66">
        <v>7.02</v>
      </c>
      <c r="P85" s="66">
        <v>21.67</v>
      </c>
      <c r="Q85" s="66">
        <v>16.670000000000002</v>
      </c>
      <c r="R85" s="66">
        <v>11.11</v>
      </c>
      <c r="S85" s="66">
        <v>8.33</v>
      </c>
      <c r="T85" s="67">
        <v>11.11</v>
      </c>
      <c r="U85"/>
    </row>
    <row r="86" spans="1:21" ht="30.75" customHeight="1" thickTop="1" thickBot="1" x14ac:dyDescent="0.25">
      <c r="A86" s="31"/>
      <c r="B86" s="84"/>
      <c r="C86" s="84"/>
      <c r="D86" s="84"/>
      <c r="E86" s="79"/>
      <c r="F86" s="72">
        <v>1008</v>
      </c>
      <c r="G86" s="12">
        <f>kkk(T86,S86,R86,Q86,P86,O86,4)</f>
        <v>9.5500000000000007</v>
      </c>
      <c r="H86" s="72">
        <v>1214</v>
      </c>
      <c r="I86" s="10">
        <f>kkk(T86,S86,R86,Q86,P86,O86,3)</f>
        <v>8.66</v>
      </c>
      <c r="J86" s="72">
        <v>911</v>
      </c>
      <c r="K86" s="10">
        <f>kkk(T86,S86,R86,Q86,P86,O86,2)</f>
        <v>10.050000000000001</v>
      </c>
      <c r="L86" s="72">
        <v>1014</v>
      </c>
      <c r="M86" s="10">
        <f>kkk(T86,S86,R86,Q86,P86,O86,1)</f>
        <v>9.7200000000000006</v>
      </c>
      <c r="N86" s="71">
        <v>19.07</v>
      </c>
      <c r="O86" s="64">
        <v>15.79</v>
      </c>
      <c r="P86" s="64">
        <v>0</v>
      </c>
      <c r="Q86" s="64">
        <v>13.33</v>
      </c>
      <c r="R86" s="64">
        <v>7.41</v>
      </c>
      <c r="S86" s="64">
        <v>10</v>
      </c>
      <c r="T86" s="65">
        <v>7.78</v>
      </c>
      <c r="U86"/>
    </row>
    <row r="87" spans="1:21" ht="30.75" customHeight="1" thickTop="1" thickBot="1" x14ac:dyDescent="0.25">
      <c r="A87" s="31"/>
      <c r="B87" s="84"/>
      <c r="C87" s="84"/>
      <c r="D87" s="84"/>
      <c r="E87" s="78" t="s">
        <v>39</v>
      </c>
      <c r="F87" s="73">
        <v>1110</v>
      </c>
      <c r="G87" s="13">
        <f>kkk(T87,S87,R87,Q87,P87,O87,4)</f>
        <v>12.2</v>
      </c>
      <c r="H87" s="73">
        <v>1048</v>
      </c>
      <c r="I87" s="11">
        <f>kkk(T87,S87,R87,Q87,P87,O87,3)</f>
        <v>13.64</v>
      </c>
      <c r="J87" s="73">
        <v>1335</v>
      </c>
      <c r="K87" s="11">
        <f>kkk(T87,S87,R87,Q87,P87,O87,2)</f>
        <v>11.16</v>
      </c>
      <c r="L87" s="73">
        <v>1080</v>
      </c>
      <c r="M87" s="11">
        <f>kkk(T87,S87,R87,Q87,P87,O87,1)</f>
        <v>12.92</v>
      </c>
      <c r="N87" s="71">
        <v>15.86</v>
      </c>
      <c r="O87" s="66">
        <v>15.79</v>
      </c>
      <c r="P87" s="66">
        <v>26.67</v>
      </c>
      <c r="Q87" s="66">
        <v>5</v>
      </c>
      <c r="R87" s="66">
        <v>11.11</v>
      </c>
      <c r="S87" s="66">
        <v>6.67</v>
      </c>
      <c r="T87" s="67">
        <v>0</v>
      </c>
      <c r="U87"/>
    </row>
    <row r="88" spans="1:21" ht="30.75" customHeight="1" thickTop="1" thickBot="1" x14ac:dyDescent="0.25">
      <c r="A88" s="31"/>
      <c r="B88" s="84"/>
      <c r="C88" s="84"/>
      <c r="D88" s="84"/>
      <c r="E88" s="79"/>
      <c r="F88" s="72">
        <v>1344</v>
      </c>
      <c r="G88" s="12">
        <f>kkk(T88,S88,R88,Q88,P88,O88,4)</f>
        <v>12.15</v>
      </c>
      <c r="H88" s="72">
        <v>1792</v>
      </c>
      <c r="I88" s="10">
        <f>kkk(T88,S88,R88,Q88,P88,O88,3)</f>
        <v>10.59</v>
      </c>
      <c r="J88" s="72">
        <v>1344</v>
      </c>
      <c r="K88" s="10">
        <f>kkk(T88,S88,R88,Q88,P88,O88,2)</f>
        <v>12.22</v>
      </c>
      <c r="L88" s="72">
        <v>2113</v>
      </c>
      <c r="M88" s="10">
        <f>kkk(T88,S88,R88,Q88,P88,O88,1)</f>
        <v>9.93</v>
      </c>
      <c r="N88" s="71"/>
      <c r="O88" s="64">
        <v>0</v>
      </c>
      <c r="P88" s="64">
        <v>10</v>
      </c>
      <c r="Q88" s="64">
        <v>33.33</v>
      </c>
      <c r="R88" s="64">
        <v>11.11</v>
      </c>
      <c r="S88" s="64">
        <v>-1.66</v>
      </c>
      <c r="T88" s="65">
        <v>0</v>
      </c>
      <c r="U88"/>
    </row>
    <row r="89" spans="1:21" ht="30.75" customHeight="1" thickTop="1" thickBot="1" x14ac:dyDescent="0.25">
      <c r="A89" s="31"/>
      <c r="B89" s="84"/>
      <c r="C89" s="84"/>
      <c r="D89" s="84"/>
      <c r="E89" s="79"/>
      <c r="F89" s="72">
        <v>1132</v>
      </c>
      <c r="G89" s="12">
        <f>kkk(T89,S89,R89,Q89,P89,O89,4)</f>
        <v>11.4</v>
      </c>
      <c r="H89" s="72">
        <v>995</v>
      </c>
      <c r="I89" s="10">
        <f>kkk(T89,S89,R89,Q89,P89,O89,3)</f>
        <v>13.07</v>
      </c>
      <c r="J89" s="72">
        <v>1384</v>
      </c>
      <c r="K89" s="10">
        <f>kkk(T89,S89,R89,Q89,P89,O89,2)</f>
        <v>10.01</v>
      </c>
      <c r="L89" s="72">
        <v>986</v>
      </c>
      <c r="M89" s="10">
        <f>kkk(T89,S89,R89,Q89,P89,O89,1)</f>
        <v>12.47</v>
      </c>
      <c r="N89" s="71"/>
      <c r="O89" s="64">
        <v>19.3</v>
      </c>
      <c r="P89" s="64">
        <v>28.33</v>
      </c>
      <c r="Q89" s="64">
        <v>3.33</v>
      </c>
      <c r="R89" s="64">
        <v>7.41</v>
      </c>
      <c r="S89" s="64">
        <v>0</v>
      </c>
      <c r="T89" s="65">
        <v>0</v>
      </c>
      <c r="U89"/>
    </row>
    <row r="90" spans="1:21" ht="30.75" customHeight="1" thickTop="1" thickBot="1" x14ac:dyDescent="0.25">
      <c r="A90" s="31"/>
      <c r="B90" s="84"/>
      <c r="C90" s="84"/>
      <c r="D90" s="84"/>
      <c r="E90" s="79"/>
      <c r="F90" s="72">
        <v>1124</v>
      </c>
      <c r="G90" s="12">
        <f>kkk(T90,S90,R90,Q90,P90,O90,4)</f>
        <v>11.76</v>
      </c>
      <c r="H90" s="72">
        <v>942</v>
      </c>
      <c r="I90" s="10">
        <f>kkk(T90,S90,R90,Q90,P90,O90,3)</f>
        <v>13.76</v>
      </c>
      <c r="J90" s="72">
        <v>1464</v>
      </c>
      <c r="K90" s="10">
        <f>kkk(T90,S90,R90,Q90,P90,O90,2)</f>
        <v>10</v>
      </c>
      <c r="L90" s="72">
        <v>874</v>
      </c>
      <c r="M90" s="10">
        <f>kkk(T90,S90,R90,Q90,P90,O90,1)</f>
        <v>13.51</v>
      </c>
      <c r="N90" s="71">
        <v>15.22</v>
      </c>
      <c r="O90" s="62">
        <v>26.32</v>
      </c>
      <c r="P90" s="62">
        <v>30</v>
      </c>
      <c r="Q90" s="62">
        <v>0</v>
      </c>
      <c r="R90" s="62">
        <v>3.7</v>
      </c>
      <c r="S90" s="62">
        <v>0</v>
      </c>
      <c r="T90" s="63">
        <v>0</v>
      </c>
      <c r="U90"/>
    </row>
    <row r="91" spans="1:21" ht="30.75" customHeight="1" thickTop="1" thickBot="1" x14ac:dyDescent="0.25">
      <c r="A91" s="31"/>
      <c r="B91" s="84"/>
      <c r="C91" s="84"/>
      <c r="D91" s="84"/>
      <c r="E91" s="79"/>
      <c r="F91" s="72">
        <v>1798</v>
      </c>
      <c r="G91" s="12">
        <f>kkk(T91,S91,R91,Q91,P91,O91,4)</f>
        <v>8.25</v>
      </c>
      <c r="H91" s="72">
        <v>1445</v>
      </c>
      <c r="I91" s="10">
        <f>kkk(T91,S91,R91,Q91,P91,O91,3)</f>
        <v>10.029999999999999</v>
      </c>
      <c r="J91" s="72">
        <v>2033</v>
      </c>
      <c r="K91" s="10">
        <f>kkk(T91,S91,R91,Q91,P91,O91,2)</f>
        <v>7.57</v>
      </c>
      <c r="L91" s="72">
        <v>1778</v>
      </c>
      <c r="M91" s="10">
        <f>kkk(T91,S91,R91,Q91,P91,O91,1)</f>
        <v>8.7100000000000009</v>
      </c>
      <c r="N91" s="71">
        <v>17.010000000000002</v>
      </c>
      <c r="O91" s="64">
        <v>5.26</v>
      </c>
      <c r="P91" s="64">
        <v>25</v>
      </c>
      <c r="Q91" s="64">
        <v>-1.66</v>
      </c>
      <c r="R91" s="64">
        <v>14.81</v>
      </c>
      <c r="S91" s="64">
        <v>5</v>
      </c>
      <c r="T91" s="65">
        <v>0</v>
      </c>
      <c r="U91"/>
    </row>
    <row r="92" spans="1:21" ht="30.75" customHeight="1" thickTop="1" thickBot="1" x14ac:dyDescent="0.25">
      <c r="A92" s="31"/>
      <c r="B92" s="84"/>
      <c r="C92" s="84"/>
      <c r="D92" s="84"/>
      <c r="E92" s="79"/>
      <c r="F92" s="72">
        <v>2603</v>
      </c>
      <c r="G92" s="12">
        <f>kkk(T92,S92,R92,Q92,P92,O92,4)</f>
        <v>6.79</v>
      </c>
      <c r="H92" s="72">
        <v>1846</v>
      </c>
      <c r="I92" s="10">
        <f>kkk(T92,S92,R92,Q92,P92,O92,3)</f>
        <v>9.1199999999999992</v>
      </c>
      <c r="J92" s="72">
        <v>3842</v>
      </c>
      <c r="K92" s="10">
        <f>kkk(T92,S92,R92,Q92,P92,O92,2)</f>
        <v>4.79</v>
      </c>
      <c r="L92" s="72">
        <v>2342</v>
      </c>
      <c r="M92" s="10">
        <f>kkk(T92,S92,R92,Q92,P92,O92,1)</f>
        <v>7.71</v>
      </c>
      <c r="N92" s="71">
        <v>16.11</v>
      </c>
      <c r="O92" s="64">
        <v>8.77</v>
      </c>
      <c r="P92" s="64">
        <v>30</v>
      </c>
      <c r="Q92" s="64">
        <v>-5</v>
      </c>
      <c r="R92" s="64">
        <v>0</v>
      </c>
      <c r="S92" s="64">
        <v>0</v>
      </c>
      <c r="T92" s="65">
        <v>5.56</v>
      </c>
      <c r="U92"/>
    </row>
    <row r="93" spans="1:21" ht="30.75" customHeight="1" thickTop="1" thickBot="1" x14ac:dyDescent="0.25">
      <c r="A93" s="31"/>
      <c r="B93" s="84"/>
      <c r="C93" s="84"/>
      <c r="D93" s="84"/>
      <c r="E93" s="79"/>
      <c r="F93" s="72">
        <v>4807</v>
      </c>
      <c r="G93" s="12">
        <f>kkk(T93,S93,R93,Q93,P93,O93,4)</f>
        <v>2.81</v>
      </c>
      <c r="H93" s="72">
        <v>4874</v>
      </c>
      <c r="I93" s="10">
        <f>kkk(T93,S93,R93,Q93,P93,O93,3)</f>
        <v>2.81</v>
      </c>
      <c r="J93" s="72">
        <v>4924</v>
      </c>
      <c r="K93" s="10">
        <f>kkk(T93,S93,R93,Q93,P93,O93,2)</f>
        <v>2.81</v>
      </c>
      <c r="L93" s="72">
        <v>3944</v>
      </c>
      <c r="M93" s="10">
        <f>kkk(T93,S93,R93,Q93,P93,O93,1)</f>
        <v>3.74</v>
      </c>
      <c r="N93" s="71">
        <v>16.829999999999998</v>
      </c>
      <c r="O93" s="64">
        <v>14.04</v>
      </c>
      <c r="P93" s="64">
        <v>0</v>
      </c>
      <c r="Q93" s="64">
        <v>0</v>
      </c>
      <c r="R93" s="64">
        <v>0</v>
      </c>
      <c r="S93" s="64">
        <v>0</v>
      </c>
      <c r="T93" s="65">
        <v>0</v>
      </c>
      <c r="U93"/>
    </row>
    <row r="94" spans="1:21" ht="30.75" customHeight="1" thickTop="1" thickBot="1" x14ac:dyDescent="0.25">
      <c r="A94" s="31"/>
      <c r="B94" s="84"/>
      <c r="C94" s="84"/>
      <c r="D94" s="84"/>
      <c r="E94" s="79"/>
      <c r="F94" s="72">
        <v>6379</v>
      </c>
      <c r="G94" s="12">
        <f>kkk(T94,S94,R94,Q94,P94,O94,4)</f>
        <v>4</v>
      </c>
      <c r="H94" s="72">
        <v>6325</v>
      </c>
      <c r="I94" s="10">
        <f>kkk(T94,S94,R94,Q94,P94,O94,3)</f>
        <v>4</v>
      </c>
      <c r="J94" s="72">
        <v>6470</v>
      </c>
      <c r="K94" s="10">
        <f>kkk(T94,S94,R94,Q94,P94,O94,2)</f>
        <v>4</v>
      </c>
      <c r="L94" s="72">
        <v>6613</v>
      </c>
      <c r="M94" s="10">
        <f>kkk(T94,S94,R94,Q94,P94,O94,1)</f>
        <v>4</v>
      </c>
      <c r="N94" s="71"/>
      <c r="O94" s="64">
        <v>0</v>
      </c>
      <c r="P94" s="64">
        <v>0</v>
      </c>
      <c r="Q94" s="64">
        <v>0</v>
      </c>
      <c r="R94" s="64">
        <v>0</v>
      </c>
      <c r="S94" s="64">
        <v>0</v>
      </c>
      <c r="T94" s="65">
        <v>60</v>
      </c>
      <c r="U94"/>
    </row>
    <row r="95" spans="1:21" ht="30.75" customHeight="1" thickTop="1" thickBot="1" x14ac:dyDescent="0.25">
      <c r="A95" s="31"/>
      <c r="B95" s="84"/>
      <c r="C95" s="84"/>
      <c r="D95" s="84"/>
      <c r="E95" s="79"/>
      <c r="F95" s="72">
        <v>6650</v>
      </c>
      <c r="G95" s="12">
        <f>kkk(T95,S95,R95,Q95,P95,O95,4)</f>
        <v>0.93</v>
      </c>
      <c r="H95" s="72">
        <v>6741</v>
      </c>
      <c r="I95" s="10">
        <f>kkk(T95,S95,R95,Q95,P95,O95,3)</f>
        <v>0.82</v>
      </c>
      <c r="J95" s="72">
        <v>6728</v>
      </c>
      <c r="K95" s="10">
        <f>kkk(T95,S95,R95,Q95,P95,O95,2)</f>
        <v>1.04</v>
      </c>
      <c r="L95" s="72">
        <v>6956</v>
      </c>
      <c r="M95" s="10">
        <f>kkk(T95,S95,R95,Q95,P95,O95,1)</f>
        <v>0.93</v>
      </c>
      <c r="N95" s="71">
        <v>18.63</v>
      </c>
      <c r="O95" s="64">
        <v>0</v>
      </c>
      <c r="P95" s="64">
        <v>-1.66</v>
      </c>
      <c r="Q95" s="64">
        <v>0</v>
      </c>
      <c r="R95" s="64">
        <v>0</v>
      </c>
      <c r="S95" s="64">
        <v>0</v>
      </c>
      <c r="T95" s="65">
        <v>18.89</v>
      </c>
      <c r="U95"/>
    </row>
    <row r="96" spans="1:21" ht="30.75" customHeight="1" thickTop="1" thickBot="1" x14ac:dyDescent="0.25">
      <c r="A96" s="31"/>
      <c r="B96" s="84"/>
      <c r="C96" s="84"/>
      <c r="D96" s="84"/>
      <c r="E96" s="79"/>
      <c r="F96" s="72">
        <v>9493</v>
      </c>
      <c r="G96" s="12">
        <f>kkk(T96,S96,R96,Q96,P96,O96,4)</f>
        <v>0.35</v>
      </c>
      <c r="H96" s="72">
        <v>9669</v>
      </c>
      <c r="I96" s="10">
        <f>kkk(T96,S96,R96,Q96,P96,O96,3)</f>
        <v>0.35</v>
      </c>
      <c r="J96" s="72">
        <v>9510</v>
      </c>
      <c r="K96" s="10">
        <f>kkk(T96,S96,R96,Q96,P96,O96,2)</f>
        <v>0.35</v>
      </c>
      <c r="L96" s="72">
        <v>9559</v>
      </c>
      <c r="M96" s="10">
        <f>kkk(T96,S96,R96,Q96,P96,O96,1)</f>
        <v>0.47</v>
      </c>
      <c r="N96" s="71"/>
      <c r="O96" s="64">
        <v>1.75</v>
      </c>
      <c r="P96" s="64">
        <v>0</v>
      </c>
      <c r="Q96" s="64">
        <v>0</v>
      </c>
      <c r="R96" s="64">
        <v>0</v>
      </c>
      <c r="S96" s="64">
        <v>0</v>
      </c>
      <c r="T96" s="65">
        <v>0</v>
      </c>
      <c r="U96"/>
    </row>
    <row r="97" spans="1:21" ht="30.75" customHeight="1" thickTop="1" thickBot="1" x14ac:dyDescent="0.25">
      <c r="A97" s="31"/>
      <c r="B97" s="84"/>
      <c r="C97" s="84"/>
      <c r="D97" s="84"/>
      <c r="E97" s="79"/>
      <c r="F97" s="72"/>
      <c r="G97" s="12">
        <f>kkk(T97,S97,R97,Q97,P97,O97,4)</f>
        <v>0</v>
      </c>
      <c r="H97" s="72"/>
      <c r="I97" s="10">
        <f>kkk(T97,S97,R97,Q97,P97,O97,3)</f>
        <v>0</v>
      </c>
      <c r="J97" s="72"/>
      <c r="K97" s="10">
        <f>kkk(T97,S97,R97,Q97,P97,O97,2)</f>
        <v>0</v>
      </c>
      <c r="L97" s="72"/>
      <c r="M97" s="10">
        <f>kkk(T97,S97,R97,Q97,P97,O97,1)</f>
        <v>0</v>
      </c>
      <c r="N97" s="71"/>
      <c r="O97" s="64"/>
      <c r="P97" s="64"/>
      <c r="Q97" s="64"/>
      <c r="R97" s="64"/>
      <c r="S97" s="64"/>
      <c r="T97" s="65"/>
      <c r="U97"/>
    </row>
    <row r="98" spans="1:21" ht="30.75" customHeight="1" thickTop="1" thickBot="1" x14ac:dyDescent="0.25">
      <c r="A98" s="31"/>
      <c r="B98" s="56"/>
      <c r="C98" s="57"/>
      <c r="D98" s="57"/>
      <c r="E98" s="7"/>
      <c r="F98" s="34"/>
      <c r="G98" s="15"/>
      <c r="H98" s="34"/>
      <c r="I98" s="15"/>
      <c r="J98" s="34"/>
      <c r="K98" s="15"/>
      <c r="L98" s="34"/>
      <c r="M98" s="85"/>
      <c r="N98" s="8"/>
      <c r="O98" s="9"/>
      <c r="P98" s="9"/>
      <c r="Q98" s="9"/>
      <c r="R98" s="9"/>
      <c r="S98" s="9"/>
      <c r="T98" s="14"/>
      <c r="U98"/>
    </row>
    <row r="99" spans="1:21" ht="15" thickTop="1" x14ac:dyDescent="0.2">
      <c r="E99" s="17"/>
      <c r="F99" s="35"/>
      <c r="G99" s="18"/>
      <c r="H99" s="35"/>
      <c r="I99" s="18"/>
      <c r="J99" s="35"/>
      <c r="K99" s="18"/>
      <c r="L99" s="35"/>
      <c r="M99" s="86"/>
      <c r="N99" s="18"/>
      <c r="O99" s="18"/>
      <c r="P99" s="18"/>
      <c r="Q99" s="18"/>
      <c r="R99" s="18"/>
      <c r="S99" s="18"/>
      <c r="T99" s="18"/>
      <c r="U99"/>
    </row>
  </sheetData>
  <sortState xmlns:xlrd2="http://schemas.microsoft.com/office/spreadsheetml/2017/richdata2" ref="E7:T97">
    <sortCondition ref="J7:J97"/>
  </sortState>
  <mergeCells count="6">
    <mergeCell ref="B4:D4"/>
    <mergeCell ref="V3:Z3"/>
    <mergeCell ref="E2:T2"/>
    <mergeCell ref="F4:M4"/>
    <mergeCell ref="O4:T4"/>
    <mergeCell ref="F3:S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GHR</cp:lastModifiedBy>
  <dcterms:created xsi:type="dcterms:W3CDTF">2006-09-16T00:00:00Z</dcterms:created>
  <dcterms:modified xsi:type="dcterms:W3CDTF">2022-06-21T20:12:42Z</dcterms:modified>
</cp:coreProperties>
</file>